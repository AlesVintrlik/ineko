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oneEx\"/>
    </mc:Choice>
  </mc:AlternateContent>
  <xr:revisionPtr revIDLastSave="0" documentId="13_ncr:1_{8DB6D0B7-C537-4B04-8B3F-34A55CD57DA7}" xr6:coauthVersionLast="47" xr6:coauthVersionMax="47" xr10:uidLastSave="{00000000-0000-0000-0000-000000000000}"/>
  <bookViews>
    <workbookView showVerticalScroll="0" xWindow="-108" yWindow="-108" windowWidth="30936" windowHeight="18696" tabRatio="606" firstSheet="1" activeTab="1" xr2:uid="{C36FE515-D0E0-43C8-B97F-CF5D940AEB1B}"/>
  </bookViews>
  <sheets>
    <sheet name="Aplikace" sheetId="6" state="hidden" r:id="rId1"/>
    <sheet name="Kumulace" sheetId="20" r:id="rId2"/>
    <sheet name="Kontingenční tabulka" sheetId="30" state="hidden" r:id="rId3"/>
    <sheet name="DataProGraf" sheetId="22" state="hidden" r:id="rId4"/>
    <sheet name="Grafy" sheetId="21" state="hidden" r:id="rId5"/>
    <sheet name="Konfigurace" sheetId="2" state="hidden" r:id="rId6"/>
    <sheet name="Rozpočet" sheetId="11" state="hidden" r:id="rId7"/>
    <sheet name="Detail" sheetId="49" state="hidden" r:id="rId8"/>
  </sheets>
  <functionGroups builtInGroupCount="19"/>
  <externalReferences>
    <externalReference r:id="rId9"/>
  </externalReferences>
  <definedNames>
    <definedName name="_xlnm._FilterDatabase" localSheetId="7" hidden="1">Detail!$A$1:$G$1</definedName>
    <definedName name="_xlcn.WorksheetConnection_Rozpočet.xlsmRozpočet1" hidden="1">Rozpočet[]</definedName>
    <definedName name="databaseName">Konfigurace!$C$3</definedName>
    <definedName name="EXE">Konfigurace!$C$9</definedName>
    <definedName name="localServer">Konfigurace!$C$6</definedName>
    <definedName name="login">Konfigurace!$C$4</definedName>
    <definedName name="Mesic" localSheetId="2">[1]Rozpočet!$B:$B</definedName>
    <definedName name="Mesic">'Rozpočet'!$B:$B</definedName>
    <definedName name="Nazev">'Rozpočet'!$E:$E</definedName>
    <definedName name="Obdobi">'Rozpočet'!$C:$C</definedName>
    <definedName name="passw">Konfigurace!$C$5</definedName>
    <definedName name="Průřez_Mesic">#N/A</definedName>
    <definedName name="Průřez_Skupina">#N/A</definedName>
    <definedName name="Rok" localSheetId="2">[1]Rozpočet!$A:$A</definedName>
    <definedName name="Rok">'Rozpočet'!$A:$A</definedName>
    <definedName name="serverName">Konfigurace!$C$2</definedName>
    <definedName name="Skupina" localSheetId="2">[1]Rozpočet!$D:$D</definedName>
    <definedName name="Skupina">'Rozpočet'!$D:$D</definedName>
    <definedName name="Skutecnost" localSheetId="2">[1]Rozpočet!$G:$G</definedName>
    <definedName name="Skutecnost">'Rozpočet'!$G:$G</definedName>
    <definedName name="Ucet">'Rozpočet'!$F:$F</definedName>
  </definedNames>
  <calcPr calcId="191029"/>
  <pivotCaches>
    <pivotCache cacheId="17" r:id="rId10"/>
  </pivotCaches>
  <extLst>
    <ext xmlns:x14="http://schemas.microsoft.com/office/spreadsheetml/2009/9/main" uri="{876F7934-8845-4945-9796-88D515C7AA90}">
      <x14:pivotCaches>
        <pivotCache cacheId="16" r:id="rId11"/>
      </x14:pivotCaches>
    </ex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ozpočet" name="Rozpočet" connection="WorksheetConnection_Rozpočet.xlsm!Rozpoč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77" i="6" l="1"/>
  <c r="U77" i="6"/>
  <c r="V77" i="6"/>
  <c r="W77" i="6"/>
  <c r="X77" i="6"/>
  <c r="Y77" i="6"/>
  <c r="AL77" i="6" s="1"/>
  <c r="Z77" i="6"/>
  <c r="AA77" i="6"/>
  <c r="AB77" i="6"/>
  <c r="AO77" i="6" s="1"/>
  <c r="AC77" i="6"/>
  <c r="AD77" i="6"/>
  <c r="AQ77" i="6" s="1"/>
  <c r="S77" i="6"/>
  <c r="AF77" i="6" s="1"/>
  <c r="T63" i="6"/>
  <c r="AG63" i="6" s="1"/>
  <c r="U63" i="6"/>
  <c r="AH63" i="6" s="1"/>
  <c r="V63" i="6"/>
  <c r="AI63" i="6" s="1"/>
  <c r="W63" i="6"/>
  <c r="AJ63" i="6" s="1"/>
  <c r="X63" i="6"/>
  <c r="AK63" i="6" s="1"/>
  <c r="Y63" i="6"/>
  <c r="AL63" i="6" s="1"/>
  <c r="Z63" i="6"/>
  <c r="AM63" i="6" s="1"/>
  <c r="AA63" i="6"/>
  <c r="AN63" i="6" s="1"/>
  <c r="AB63" i="6"/>
  <c r="AO63" i="6" s="1"/>
  <c r="AC63" i="6"/>
  <c r="AP63" i="6" s="1"/>
  <c r="AD63" i="6"/>
  <c r="S63" i="6"/>
  <c r="AF63" i="6" s="1"/>
  <c r="AD67" i="6"/>
  <c r="AC67" i="6"/>
  <c r="AP67" i="6" s="1"/>
  <c r="AB67" i="6"/>
  <c r="AO67" i="6" s="1"/>
  <c r="AA67" i="6"/>
  <c r="AN67" i="6" s="1"/>
  <c r="Z67" i="6"/>
  <c r="Y67" i="6"/>
  <c r="AL67" i="6" s="1"/>
  <c r="X67" i="6"/>
  <c r="AK67" i="6" s="1"/>
  <c r="W67" i="6"/>
  <c r="AJ67" i="6" s="1"/>
  <c r="V67" i="6"/>
  <c r="AI67" i="6" s="1"/>
  <c r="U67" i="6"/>
  <c r="AH67" i="6" s="1"/>
  <c r="T67" i="6"/>
  <c r="AG67" i="6" s="1"/>
  <c r="AD66" i="6"/>
  <c r="AQ66" i="6" s="1"/>
  <c r="AC66" i="6"/>
  <c r="AB66" i="6"/>
  <c r="AB64" i="6" s="1"/>
  <c r="AA66" i="6"/>
  <c r="AN66" i="6" s="1"/>
  <c r="Z66" i="6"/>
  <c r="AM66" i="6" s="1"/>
  <c r="Y66" i="6"/>
  <c r="AL66" i="6" s="1"/>
  <c r="X66" i="6"/>
  <c r="AK66" i="6" s="1"/>
  <c r="W66" i="6"/>
  <c r="W64" i="6" s="1"/>
  <c r="V66" i="6"/>
  <c r="AI66" i="6" s="1"/>
  <c r="U66" i="6"/>
  <c r="T66" i="6"/>
  <c r="AG66" i="6" s="1"/>
  <c r="AD65" i="6"/>
  <c r="AC65" i="6"/>
  <c r="AB65" i="6"/>
  <c r="AA65" i="6"/>
  <c r="Z65" i="6"/>
  <c r="AM65" i="6" s="1"/>
  <c r="Y65" i="6"/>
  <c r="AL65" i="6" s="1"/>
  <c r="X65" i="6"/>
  <c r="AK65" i="6" s="1"/>
  <c r="W65" i="6"/>
  <c r="V65" i="6"/>
  <c r="AI65" i="6" s="1"/>
  <c r="U65" i="6"/>
  <c r="AH65" i="6" s="1"/>
  <c r="T65" i="6"/>
  <c r="S67" i="6"/>
  <c r="AF67" i="6" s="1"/>
  <c r="S66" i="6"/>
  <c r="AF66" i="6" s="1"/>
  <c r="S65" i="6"/>
  <c r="AF65" i="6" s="1"/>
  <c r="T16" i="6"/>
  <c r="AG16" i="6" s="1"/>
  <c r="U16" i="6"/>
  <c r="AH16" i="6" s="1"/>
  <c r="V16" i="6"/>
  <c r="AI16" i="6" s="1"/>
  <c r="W16" i="6"/>
  <c r="AJ16" i="6" s="1"/>
  <c r="X16" i="6"/>
  <c r="AK16" i="6" s="1"/>
  <c r="Y16" i="6"/>
  <c r="AL16" i="6" s="1"/>
  <c r="Z16" i="6"/>
  <c r="AA16" i="6"/>
  <c r="AB16" i="6"/>
  <c r="AO16" i="6" s="1"/>
  <c r="AC16" i="6"/>
  <c r="AP16" i="6" s="1"/>
  <c r="AD16" i="6"/>
  <c r="AQ16" i="6" s="1"/>
  <c r="T17" i="6"/>
  <c r="U17" i="6"/>
  <c r="V17" i="6"/>
  <c r="W17" i="6"/>
  <c r="X17" i="6"/>
  <c r="Y17" i="6"/>
  <c r="AL17" i="6" s="1"/>
  <c r="Z17" i="6"/>
  <c r="AA17" i="6"/>
  <c r="AN17" i="6" s="1"/>
  <c r="AB17" i="6"/>
  <c r="AO17" i="6" s="1"/>
  <c r="AC17" i="6"/>
  <c r="AP17" i="6" s="1"/>
  <c r="AD17" i="6"/>
  <c r="AQ17" i="6" s="1"/>
  <c r="T18" i="6"/>
  <c r="AG18" i="6" s="1"/>
  <c r="U18" i="6"/>
  <c r="AH18" i="6" s="1"/>
  <c r="V18" i="6"/>
  <c r="AI18" i="6" s="1"/>
  <c r="W18" i="6"/>
  <c r="AJ18" i="6" s="1"/>
  <c r="X18" i="6"/>
  <c r="AK18" i="6" s="1"/>
  <c r="Y18" i="6"/>
  <c r="AL18" i="6" s="1"/>
  <c r="Z18" i="6"/>
  <c r="AA18" i="6"/>
  <c r="AN18" i="6" s="1"/>
  <c r="AB18" i="6"/>
  <c r="AO18" i="6" s="1"/>
  <c r="AC18" i="6"/>
  <c r="AP18" i="6" s="1"/>
  <c r="AD18" i="6"/>
  <c r="AQ18" i="6" s="1"/>
  <c r="S17" i="6"/>
  <c r="AF17" i="6" s="1"/>
  <c r="S18" i="6"/>
  <c r="AF18" i="6" s="1"/>
  <c r="S16" i="6"/>
  <c r="S8" i="6"/>
  <c r="T8" i="6"/>
  <c r="AG8" i="6" s="1"/>
  <c r="U8" i="6"/>
  <c r="AH8" i="6" s="1"/>
  <c r="V8" i="6"/>
  <c r="AI8" i="6" s="1"/>
  <c r="W8" i="6"/>
  <c r="AJ8" i="6" s="1"/>
  <c r="X8" i="6"/>
  <c r="AK8" i="6" s="1"/>
  <c r="S9" i="6"/>
  <c r="AF9" i="6" s="1"/>
  <c r="T9" i="6"/>
  <c r="AG9" i="6" s="1"/>
  <c r="U9" i="6"/>
  <c r="AH9" i="6" s="1"/>
  <c r="V9" i="6"/>
  <c r="AI9" i="6" s="1"/>
  <c r="W9" i="6"/>
  <c r="AJ9" i="6" s="1"/>
  <c r="X9" i="6"/>
  <c r="AK9" i="6" s="1"/>
  <c r="S10" i="6"/>
  <c r="AF10" i="6" s="1"/>
  <c r="T10" i="6"/>
  <c r="AG10" i="6" s="1"/>
  <c r="U10" i="6"/>
  <c r="AH10" i="6" s="1"/>
  <c r="V10" i="6"/>
  <c r="AI10" i="6" s="1"/>
  <c r="W10" i="6"/>
  <c r="AJ10" i="6" s="1"/>
  <c r="X10" i="6"/>
  <c r="AK10" i="6" s="1"/>
  <c r="S11" i="6"/>
  <c r="AF11" i="6" s="1"/>
  <c r="T11" i="6"/>
  <c r="AG11" i="6" s="1"/>
  <c r="U11" i="6"/>
  <c r="AH11" i="6" s="1"/>
  <c r="V11" i="6"/>
  <c r="AI11" i="6" s="1"/>
  <c r="W11" i="6"/>
  <c r="AJ11" i="6" s="1"/>
  <c r="X11" i="6"/>
  <c r="AK11" i="6" s="1"/>
  <c r="S12" i="6"/>
  <c r="T12" i="6"/>
  <c r="AG12" i="6" s="1"/>
  <c r="U12" i="6"/>
  <c r="AH12" i="6" s="1"/>
  <c r="V12" i="6"/>
  <c r="AI12" i="6" s="1"/>
  <c r="W12" i="6"/>
  <c r="AJ12" i="6" s="1"/>
  <c r="X12" i="6"/>
  <c r="AK12" i="6" s="1"/>
  <c r="S13" i="6"/>
  <c r="AF13" i="6" s="1"/>
  <c r="T13" i="6"/>
  <c r="AG13" i="6" s="1"/>
  <c r="U13" i="6"/>
  <c r="AH13" i="6" s="1"/>
  <c r="V13" i="6"/>
  <c r="AI13" i="6" s="1"/>
  <c r="W13" i="6"/>
  <c r="AJ13" i="6" s="1"/>
  <c r="X13" i="6"/>
  <c r="AK13" i="6" s="1"/>
  <c r="S14" i="6"/>
  <c r="AF14" i="6" s="1"/>
  <c r="T14" i="6"/>
  <c r="AG14" i="6" s="1"/>
  <c r="U14" i="6"/>
  <c r="AH14" i="6" s="1"/>
  <c r="V14" i="6"/>
  <c r="AI14" i="6" s="1"/>
  <c r="W14" i="6"/>
  <c r="AJ14" i="6" s="1"/>
  <c r="X14" i="6"/>
  <c r="AK14" i="6" s="1"/>
  <c r="AG17" i="6"/>
  <c r="AH17" i="6"/>
  <c r="AI17" i="6"/>
  <c r="AJ17" i="6"/>
  <c r="AK17" i="6"/>
  <c r="S20" i="6"/>
  <c r="T20" i="6"/>
  <c r="U20" i="6"/>
  <c r="V20" i="6"/>
  <c r="W20" i="6"/>
  <c r="X20" i="6"/>
  <c r="S21" i="6"/>
  <c r="AF21" i="6" s="1"/>
  <c r="T21" i="6"/>
  <c r="AG21" i="6" s="1"/>
  <c r="U21" i="6"/>
  <c r="AH21" i="6" s="1"/>
  <c r="V21" i="6"/>
  <c r="AI21" i="6" s="1"/>
  <c r="W21" i="6"/>
  <c r="AJ21" i="6" s="1"/>
  <c r="X21" i="6"/>
  <c r="AK21" i="6" s="1"/>
  <c r="S22" i="6"/>
  <c r="AF22" i="6" s="1"/>
  <c r="T22" i="6"/>
  <c r="AG22" i="6" s="1"/>
  <c r="U22" i="6"/>
  <c r="AH22" i="6" s="1"/>
  <c r="V22" i="6"/>
  <c r="AI22" i="6" s="1"/>
  <c r="W22" i="6"/>
  <c r="AJ22" i="6" s="1"/>
  <c r="X22" i="6"/>
  <c r="AK22" i="6" s="1"/>
  <c r="S23" i="6"/>
  <c r="AF23" i="6" s="1"/>
  <c r="T23" i="6"/>
  <c r="AG23" i="6" s="1"/>
  <c r="U23" i="6"/>
  <c r="AH23" i="6" s="1"/>
  <c r="V23" i="6"/>
  <c r="AI23" i="6" s="1"/>
  <c r="W23" i="6"/>
  <c r="AJ23" i="6" s="1"/>
  <c r="X23" i="6"/>
  <c r="AK23" i="6" s="1"/>
  <c r="S25" i="6"/>
  <c r="T25" i="6"/>
  <c r="AG25" i="6" s="1"/>
  <c r="U25" i="6"/>
  <c r="AH25" i="6" s="1"/>
  <c r="V25" i="6"/>
  <c r="AI25" i="6" s="1"/>
  <c r="W25" i="6"/>
  <c r="AJ25" i="6" s="1"/>
  <c r="X25" i="6"/>
  <c r="AK25" i="6" s="1"/>
  <c r="S26" i="6"/>
  <c r="AF26" i="6" s="1"/>
  <c r="T26" i="6"/>
  <c r="AG26" i="6" s="1"/>
  <c r="U26" i="6"/>
  <c r="AH26" i="6" s="1"/>
  <c r="V26" i="6"/>
  <c r="AI26" i="6" s="1"/>
  <c r="W26" i="6"/>
  <c r="AJ26" i="6" s="1"/>
  <c r="X26" i="6"/>
  <c r="AK26" i="6" s="1"/>
  <c r="S28" i="6"/>
  <c r="T28" i="6"/>
  <c r="U28" i="6"/>
  <c r="V28" i="6"/>
  <c r="W28" i="6"/>
  <c r="AJ28" i="6" s="1"/>
  <c r="X28" i="6"/>
  <c r="AK28" i="6" s="1"/>
  <c r="S29" i="6"/>
  <c r="AF29" i="6" s="1"/>
  <c r="T29" i="6"/>
  <c r="AG29" i="6" s="1"/>
  <c r="U29" i="6"/>
  <c r="AH29" i="6" s="1"/>
  <c r="V29" i="6"/>
  <c r="AI29" i="6" s="1"/>
  <c r="W29" i="6"/>
  <c r="AJ29" i="6" s="1"/>
  <c r="X29" i="6"/>
  <c r="AK29" i="6" s="1"/>
  <c r="S30" i="6"/>
  <c r="AF30" i="6" s="1"/>
  <c r="T30" i="6"/>
  <c r="AG30" i="6" s="1"/>
  <c r="U30" i="6"/>
  <c r="AH30" i="6" s="1"/>
  <c r="V30" i="6"/>
  <c r="AI30" i="6" s="1"/>
  <c r="W30" i="6"/>
  <c r="AJ30" i="6" s="1"/>
  <c r="X30" i="6"/>
  <c r="AK30" i="6" s="1"/>
  <c r="S31" i="6"/>
  <c r="AF31" i="6" s="1"/>
  <c r="T31" i="6"/>
  <c r="AG31" i="6" s="1"/>
  <c r="U31" i="6"/>
  <c r="AH31" i="6" s="1"/>
  <c r="V31" i="6"/>
  <c r="AI31" i="6" s="1"/>
  <c r="W31" i="6"/>
  <c r="AJ31" i="6" s="1"/>
  <c r="X31" i="6"/>
  <c r="AK31" i="6" s="1"/>
  <c r="S32" i="6"/>
  <c r="AF32" i="6" s="1"/>
  <c r="T32" i="6"/>
  <c r="AG32" i="6" s="1"/>
  <c r="U32" i="6"/>
  <c r="AH32" i="6" s="1"/>
  <c r="V32" i="6"/>
  <c r="AI32" i="6" s="1"/>
  <c r="W32" i="6"/>
  <c r="AJ32" i="6" s="1"/>
  <c r="X32" i="6"/>
  <c r="AK32" i="6" s="1"/>
  <c r="S33" i="6"/>
  <c r="AF33" i="6" s="1"/>
  <c r="T33" i="6"/>
  <c r="AG33" i="6" s="1"/>
  <c r="U33" i="6"/>
  <c r="AH33" i="6" s="1"/>
  <c r="V33" i="6"/>
  <c r="AI33" i="6" s="1"/>
  <c r="W33" i="6"/>
  <c r="AJ33" i="6" s="1"/>
  <c r="X33" i="6"/>
  <c r="AK33" i="6" s="1"/>
  <c r="S34" i="6"/>
  <c r="AF34" i="6" s="1"/>
  <c r="T34" i="6"/>
  <c r="AG34" i="6" s="1"/>
  <c r="U34" i="6"/>
  <c r="AH34" i="6" s="1"/>
  <c r="V34" i="6"/>
  <c r="AI34" i="6" s="1"/>
  <c r="W34" i="6"/>
  <c r="AJ34" i="6" s="1"/>
  <c r="X34" i="6"/>
  <c r="AK34" i="6" s="1"/>
  <c r="S35" i="6"/>
  <c r="AF35" i="6" s="1"/>
  <c r="T35" i="6"/>
  <c r="AG35" i="6" s="1"/>
  <c r="U35" i="6"/>
  <c r="AH35" i="6" s="1"/>
  <c r="V35" i="6"/>
  <c r="AI35" i="6" s="1"/>
  <c r="W35" i="6"/>
  <c r="AJ35" i="6" s="1"/>
  <c r="X35" i="6"/>
  <c r="AK35" i="6" s="1"/>
  <c r="S36" i="6"/>
  <c r="AF36" i="6" s="1"/>
  <c r="T36" i="6"/>
  <c r="AG36" i="6" s="1"/>
  <c r="U36" i="6"/>
  <c r="AH36" i="6" s="1"/>
  <c r="V36" i="6"/>
  <c r="AI36" i="6" s="1"/>
  <c r="W36" i="6"/>
  <c r="AJ36" i="6" s="1"/>
  <c r="X36" i="6"/>
  <c r="AK36" i="6" s="1"/>
  <c r="S37" i="6"/>
  <c r="AF37" i="6" s="1"/>
  <c r="T37" i="6"/>
  <c r="AG37" i="6" s="1"/>
  <c r="U37" i="6"/>
  <c r="AH37" i="6" s="1"/>
  <c r="V37" i="6"/>
  <c r="AI37" i="6" s="1"/>
  <c r="W37" i="6"/>
  <c r="AJ37" i="6" s="1"/>
  <c r="X37" i="6"/>
  <c r="AK37" i="6" s="1"/>
  <c r="S39" i="6"/>
  <c r="AF39" i="6" s="1"/>
  <c r="T39" i="6"/>
  <c r="U39" i="6"/>
  <c r="V39" i="6"/>
  <c r="W39" i="6"/>
  <c r="AJ39" i="6" s="1"/>
  <c r="X39" i="6"/>
  <c r="AK39" i="6" s="1"/>
  <c r="S40" i="6"/>
  <c r="AF40" i="6" s="1"/>
  <c r="T40" i="6"/>
  <c r="AG40" i="6" s="1"/>
  <c r="U40" i="6"/>
  <c r="AH40" i="6" s="1"/>
  <c r="V40" i="6"/>
  <c r="AI40" i="6" s="1"/>
  <c r="W40" i="6"/>
  <c r="AJ40" i="6" s="1"/>
  <c r="X40" i="6"/>
  <c r="AK40" i="6" s="1"/>
  <c r="S41" i="6"/>
  <c r="AF41" i="6" s="1"/>
  <c r="T41" i="6"/>
  <c r="AG41" i="6" s="1"/>
  <c r="U41" i="6"/>
  <c r="AH41" i="6" s="1"/>
  <c r="V41" i="6"/>
  <c r="AI41" i="6" s="1"/>
  <c r="W41" i="6"/>
  <c r="AJ41" i="6" s="1"/>
  <c r="X41" i="6"/>
  <c r="AK41" i="6" s="1"/>
  <c r="S42" i="6"/>
  <c r="AF42" i="6" s="1"/>
  <c r="T42" i="6"/>
  <c r="AG42" i="6" s="1"/>
  <c r="U42" i="6"/>
  <c r="AH42" i="6" s="1"/>
  <c r="V42" i="6"/>
  <c r="AI42" i="6" s="1"/>
  <c r="W42" i="6"/>
  <c r="AJ42" i="6" s="1"/>
  <c r="X42" i="6"/>
  <c r="AK42" i="6" s="1"/>
  <c r="S43" i="6"/>
  <c r="T43" i="6"/>
  <c r="AG43" i="6" s="1"/>
  <c r="U43" i="6"/>
  <c r="AH43" i="6" s="1"/>
  <c r="V43" i="6"/>
  <c r="AI43" i="6" s="1"/>
  <c r="W43" i="6"/>
  <c r="AJ43" i="6" s="1"/>
  <c r="X43" i="6"/>
  <c r="AK43" i="6" s="1"/>
  <c r="S44" i="6"/>
  <c r="AF44" i="6" s="1"/>
  <c r="T44" i="6"/>
  <c r="AG44" i="6" s="1"/>
  <c r="U44" i="6"/>
  <c r="AH44" i="6" s="1"/>
  <c r="V44" i="6"/>
  <c r="AI44" i="6" s="1"/>
  <c r="W44" i="6"/>
  <c r="AJ44" i="6" s="1"/>
  <c r="X44" i="6"/>
  <c r="AK44" i="6" s="1"/>
  <c r="S46" i="6"/>
  <c r="T46" i="6"/>
  <c r="U46" i="6"/>
  <c r="AH46" i="6" s="1"/>
  <c r="V46" i="6"/>
  <c r="AI46" i="6" s="1"/>
  <c r="W46" i="6"/>
  <c r="AJ46" i="6" s="1"/>
  <c r="X46" i="6"/>
  <c r="S47" i="6"/>
  <c r="AF47" i="6" s="1"/>
  <c r="T47" i="6"/>
  <c r="AG47" i="6" s="1"/>
  <c r="U47" i="6"/>
  <c r="AH47" i="6" s="1"/>
  <c r="V47" i="6"/>
  <c r="AI47" i="6" s="1"/>
  <c r="W47" i="6"/>
  <c r="AJ47" i="6" s="1"/>
  <c r="X47" i="6"/>
  <c r="AK47" i="6" s="1"/>
  <c r="S48" i="6"/>
  <c r="AF48" i="6" s="1"/>
  <c r="T48" i="6"/>
  <c r="AG48" i="6" s="1"/>
  <c r="U48" i="6"/>
  <c r="AH48" i="6" s="1"/>
  <c r="V48" i="6"/>
  <c r="AI48" i="6" s="1"/>
  <c r="W48" i="6"/>
  <c r="AJ48" i="6" s="1"/>
  <c r="X48" i="6"/>
  <c r="AK48" i="6" s="1"/>
  <c r="S49" i="6"/>
  <c r="AF49" i="6" s="1"/>
  <c r="T49" i="6"/>
  <c r="AG49" i="6" s="1"/>
  <c r="U49" i="6"/>
  <c r="AH49" i="6" s="1"/>
  <c r="V49" i="6"/>
  <c r="AI49" i="6" s="1"/>
  <c r="W49" i="6"/>
  <c r="AJ49" i="6" s="1"/>
  <c r="X49" i="6"/>
  <c r="AK49" i="6" s="1"/>
  <c r="S50" i="6"/>
  <c r="T50" i="6"/>
  <c r="U50" i="6"/>
  <c r="V50" i="6"/>
  <c r="W50" i="6"/>
  <c r="AJ50" i="6" s="1"/>
  <c r="X50" i="6"/>
  <c r="AK50" i="6" s="1"/>
  <c r="S55" i="6"/>
  <c r="T55" i="6"/>
  <c r="U55" i="6"/>
  <c r="AH55" i="6" s="1"/>
  <c r="V55" i="6"/>
  <c r="AI55" i="6" s="1"/>
  <c r="W55" i="6"/>
  <c r="AJ55" i="6" s="1"/>
  <c r="X55" i="6"/>
  <c r="AK55" i="6" s="1"/>
  <c r="S56" i="6"/>
  <c r="AF56" i="6" s="1"/>
  <c r="T56" i="6"/>
  <c r="AG56" i="6" s="1"/>
  <c r="U56" i="6"/>
  <c r="AH56" i="6" s="1"/>
  <c r="V56" i="6"/>
  <c r="AI56" i="6" s="1"/>
  <c r="W56" i="6"/>
  <c r="AJ56" i="6" s="1"/>
  <c r="X56" i="6"/>
  <c r="AK56" i="6" s="1"/>
  <c r="S57" i="6"/>
  <c r="AF57" i="6" s="1"/>
  <c r="T57" i="6"/>
  <c r="AG57" i="6" s="1"/>
  <c r="U57" i="6"/>
  <c r="AH57" i="6" s="1"/>
  <c r="V57" i="6"/>
  <c r="AI57" i="6" s="1"/>
  <c r="W57" i="6"/>
  <c r="AJ57" i="6" s="1"/>
  <c r="X57" i="6"/>
  <c r="AK57" i="6" s="1"/>
  <c r="S58" i="6"/>
  <c r="AF58" i="6" s="1"/>
  <c r="T58" i="6"/>
  <c r="AG58" i="6" s="1"/>
  <c r="U58" i="6"/>
  <c r="AH58" i="6" s="1"/>
  <c r="V58" i="6"/>
  <c r="AI58" i="6" s="1"/>
  <c r="W58" i="6"/>
  <c r="AJ58" i="6" s="1"/>
  <c r="X58" i="6"/>
  <c r="AK58" i="6" s="1"/>
  <c r="S59" i="6"/>
  <c r="AF59" i="6" s="1"/>
  <c r="T59" i="6"/>
  <c r="AG59" i="6" s="1"/>
  <c r="U59" i="6"/>
  <c r="AH59" i="6" s="1"/>
  <c r="V59" i="6"/>
  <c r="AI59" i="6" s="1"/>
  <c r="W59" i="6"/>
  <c r="AJ59" i="6" s="1"/>
  <c r="X59" i="6"/>
  <c r="AK59" i="6" s="1"/>
  <c r="S60" i="6"/>
  <c r="AF60" i="6" s="1"/>
  <c r="T60" i="6"/>
  <c r="AG60" i="6" s="1"/>
  <c r="U60" i="6"/>
  <c r="AH60" i="6" s="1"/>
  <c r="V60" i="6"/>
  <c r="AI60" i="6" s="1"/>
  <c r="W60" i="6"/>
  <c r="AJ60" i="6" s="1"/>
  <c r="X60" i="6"/>
  <c r="AK60" i="6" s="1"/>
  <c r="S61" i="6"/>
  <c r="AF61" i="6" s="1"/>
  <c r="T61" i="6"/>
  <c r="AG61" i="6" s="1"/>
  <c r="U61" i="6"/>
  <c r="AH61" i="6" s="1"/>
  <c r="V61" i="6"/>
  <c r="AI61" i="6" s="1"/>
  <c r="W61" i="6"/>
  <c r="AJ61" i="6" s="1"/>
  <c r="X61" i="6"/>
  <c r="AK61" i="6" s="1"/>
  <c r="S62" i="6"/>
  <c r="AF62" i="6" s="1"/>
  <c r="T62" i="6"/>
  <c r="AG62" i="6" s="1"/>
  <c r="U62" i="6"/>
  <c r="AH62" i="6" s="1"/>
  <c r="V62" i="6"/>
  <c r="AI62" i="6" s="1"/>
  <c r="W62" i="6"/>
  <c r="AJ62" i="6" s="1"/>
  <c r="X62" i="6"/>
  <c r="AK62" i="6" s="1"/>
  <c r="AH66" i="6"/>
  <c r="S68" i="6"/>
  <c r="AF68" i="6" s="1"/>
  <c r="T68" i="6"/>
  <c r="AG68" i="6" s="1"/>
  <c r="U68" i="6"/>
  <c r="AH68" i="6" s="1"/>
  <c r="V68" i="6"/>
  <c r="AI68" i="6" s="1"/>
  <c r="W68" i="6"/>
  <c r="AJ68" i="6" s="1"/>
  <c r="X68" i="6"/>
  <c r="AK68" i="6" s="1"/>
  <c r="S69" i="6"/>
  <c r="T69" i="6"/>
  <c r="AG69" i="6" s="1"/>
  <c r="U69" i="6"/>
  <c r="AH69" i="6" s="1"/>
  <c r="V69" i="6"/>
  <c r="AI69" i="6" s="1"/>
  <c r="W69" i="6"/>
  <c r="AJ69" i="6" s="1"/>
  <c r="X69" i="6"/>
  <c r="AK69" i="6" s="1"/>
  <c r="S71" i="6"/>
  <c r="T71" i="6"/>
  <c r="U71" i="6"/>
  <c r="AH71" i="6" s="1"/>
  <c r="V71" i="6"/>
  <c r="AI71" i="6" s="1"/>
  <c r="W71" i="6"/>
  <c r="AJ71" i="6" s="1"/>
  <c r="X71" i="6"/>
  <c r="AK71" i="6" s="1"/>
  <c r="S72" i="6"/>
  <c r="AF72" i="6" s="1"/>
  <c r="T72" i="6"/>
  <c r="AG72" i="6" s="1"/>
  <c r="U72" i="6"/>
  <c r="AH72" i="6" s="1"/>
  <c r="V72" i="6"/>
  <c r="AI72" i="6" s="1"/>
  <c r="W72" i="6"/>
  <c r="AJ72" i="6" s="1"/>
  <c r="X72" i="6"/>
  <c r="AK72" i="6" s="1"/>
  <c r="S73" i="6"/>
  <c r="T73" i="6"/>
  <c r="AG73" i="6" s="1"/>
  <c r="U73" i="6"/>
  <c r="AH73" i="6" s="1"/>
  <c r="V73" i="6"/>
  <c r="AI73" i="6" s="1"/>
  <c r="W73" i="6"/>
  <c r="AJ73" i="6" s="1"/>
  <c r="X73" i="6"/>
  <c r="AK73" i="6" s="1"/>
  <c r="S74" i="6"/>
  <c r="AF74" i="6" s="1"/>
  <c r="T74" i="6"/>
  <c r="AG74" i="6" s="1"/>
  <c r="U74" i="6"/>
  <c r="V74" i="6"/>
  <c r="AI74" i="6" s="1"/>
  <c r="W74" i="6"/>
  <c r="X74" i="6"/>
  <c r="AK74" i="6" s="1"/>
  <c r="S75" i="6"/>
  <c r="AF75" i="6" s="1"/>
  <c r="T75" i="6"/>
  <c r="AG75" i="6" s="1"/>
  <c r="U75" i="6"/>
  <c r="AH75" i="6" s="1"/>
  <c r="V75" i="6"/>
  <c r="AI75" i="6" s="1"/>
  <c r="W75" i="6"/>
  <c r="AJ75" i="6" s="1"/>
  <c r="X75" i="6"/>
  <c r="AK75" i="6" s="1"/>
  <c r="S76" i="6"/>
  <c r="AF76" i="6" s="1"/>
  <c r="T76" i="6"/>
  <c r="AG76" i="6" s="1"/>
  <c r="U76" i="6"/>
  <c r="AH76" i="6" s="1"/>
  <c r="V76" i="6"/>
  <c r="AI76" i="6" s="1"/>
  <c r="W76" i="6"/>
  <c r="AJ76" i="6" s="1"/>
  <c r="X76" i="6"/>
  <c r="AK76" i="6" s="1"/>
  <c r="AG77" i="6"/>
  <c r="AH77" i="6"/>
  <c r="AI77" i="6"/>
  <c r="S81" i="6"/>
  <c r="AF81" i="6" s="1"/>
  <c r="T81" i="6"/>
  <c r="AG81" i="6" s="1"/>
  <c r="U81" i="6"/>
  <c r="AH81" i="6" s="1"/>
  <c r="V81" i="6"/>
  <c r="AI81" i="6" s="1"/>
  <c r="W81" i="6"/>
  <c r="AJ81" i="6" s="1"/>
  <c r="X81" i="6"/>
  <c r="AK81" i="6" s="1"/>
  <c r="S82" i="6"/>
  <c r="AF82" i="6" s="1"/>
  <c r="T82" i="6"/>
  <c r="AG82" i="6" s="1"/>
  <c r="U82" i="6"/>
  <c r="AH82" i="6" s="1"/>
  <c r="V82" i="6"/>
  <c r="AI82" i="6" s="1"/>
  <c r="W82" i="6"/>
  <c r="AJ82" i="6" s="1"/>
  <c r="X82" i="6"/>
  <c r="AK82" i="6" s="1"/>
  <c r="S83" i="6"/>
  <c r="AF83" i="6" s="1"/>
  <c r="T83" i="6"/>
  <c r="AG83" i="6" s="1"/>
  <c r="U83" i="6"/>
  <c r="AH83" i="6" s="1"/>
  <c r="V83" i="6"/>
  <c r="AI83" i="6" s="1"/>
  <c r="W83" i="6"/>
  <c r="AJ83" i="6" s="1"/>
  <c r="X83" i="6"/>
  <c r="AK83" i="6" s="1"/>
  <c r="S85" i="6"/>
  <c r="S84" i="6" s="1"/>
  <c r="T85" i="6"/>
  <c r="T84" i="6" s="1"/>
  <c r="U85" i="6"/>
  <c r="U84" i="6" s="1"/>
  <c r="V85" i="6"/>
  <c r="V84" i="6" s="1"/>
  <c r="W85" i="6"/>
  <c r="W84" i="6" s="1"/>
  <c r="X85" i="6"/>
  <c r="X84" i="6" s="1"/>
  <c r="S88" i="6"/>
  <c r="AF88" i="6" s="1"/>
  <c r="T88" i="6"/>
  <c r="AG88" i="6" s="1"/>
  <c r="U88" i="6"/>
  <c r="V88" i="6"/>
  <c r="W88" i="6"/>
  <c r="AJ88" i="6" s="1"/>
  <c r="X88" i="6"/>
  <c r="AK88" i="6" s="1"/>
  <c r="S89" i="6"/>
  <c r="AF89" i="6" s="1"/>
  <c r="T89" i="6"/>
  <c r="AG89" i="6" s="1"/>
  <c r="U89" i="6"/>
  <c r="AH89" i="6" s="1"/>
  <c r="V89" i="6"/>
  <c r="AI89" i="6" s="1"/>
  <c r="W89" i="6"/>
  <c r="AJ89" i="6" s="1"/>
  <c r="X89" i="6"/>
  <c r="AK89" i="6" s="1"/>
  <c r="S90" i="6"/>
  <c r="AF90" i="6" s="1"/>
  <c r="T90" i="6"/>
  <c r="AG90" i="6" s="1"/>
  <c r="U90" i="6"/>
  <c r="AH90" i="6" s="1"/>
  <c r="V90" i="6"/>
  <c r="AI90" i="6" s="1"/>
  <c r="W90" i="6"/>
  <c r="AJ90" i="6" s="1"/>
  <c r="X90" i="6"/>
  <c r="AK90" i="6" s="1"/>
  <c r="S96" i="6"/>
  <c r="AF96" i="6" s="1"/>
  <c r="T96" i="6"/>
  <c r="U96" i="6"/>
  <c r="AH96" i="6" s="1"/>
  <c r="V96" i="6"/>
  <c r="W96" i="6"/>
  <c r="X96" i="6"/>
  <c r="AK96" i="6" s="1"/>
  <c r="S97" i="6"/>
  <c r="AF97" i="6" s="1"/>
  <c r="T97" i="6"/>
  <c r="AG97" i="6" s="1"/>
  <c r="U97" i="6"/>
  <c r="AH97" i="6" s="1"/>
  <c r="V97" i="6"/>
  <c r="AI97" i="6" s="1"/>
  <c r="W97" i="6"/>
  <c r="AJ97" i="6" s="1"/>
  <c r="X97" i="6"/>
  <c r="AK97" i="6" s="1"/>
  <c r="S98" i="6"/>
  <c r="AF98" i="6" s="1"/>
  <c r="T98" i="6"/>
  <c r="AG98" i="6" s="1"/>
  <c r="U98" i="6"/>
  <c r="AH98" i="6" s="1"/>
  <c r="V98" i="6"/>
  <c r="AI98" i="6" s="1"/>
  <c r="W98" i="6"/>
  <c r="AJ98" i="6" s="1"/>
  <c r="X98" i="6"/>
  <c r="AK98" i="6" s="1"/>
  <c r="S99" i="6"/>
  <c r="AF99" i="6" s="1"/>
  <c r="T99" i="6"/>
  <c r="AG99" i="6" s="1"/>
  <c r="U99" i="6"/>
  <c r="AH99" i="6" s="1"/>
  <c r="V99" i="6"/>
  <c r="AI99" i="6" s="1"/>
  <c r="W99" i="6"/>
  <c r="AJ99" i="6" s="1"/>
  <c r="X99" i="6"/>
  <c r="AK99" i="6" s="1"/>
  <c r="S100" i="6"/>
  <c r="AF100" i="6" s="1"/>
  <c r="T100" i="6"/>
  <c r="AG100" i="6" s="1"/>
  <c r="U100" i="6"/>
  <c r="AH100" i="6" s="1"/>
  <c r="V100" i="6"/>
  <c r="AI100" i="6" s="1"/>
  <c r="W100" i="6"/>
  <c r="AJ100" i="6" s="1"/>
  <c r="X100" i="6"/>
  <c r="AK100" i="6" s="1"/>
  <c r="S101" i="6"/>
  <c r="AF101" i="6" s="1"/>
  <c r="T101" i="6"/>
  <c r="AG101" i="6" s="1"/>
  <c r="U101" i="6"/>
  <c r="AH101" i="6" s="1"/>
  <c r="V101" i="6"/>
  <c r="AI101" i="6" s="1"/>
  <c r="W101" i="6"/>
  <c r="AJ101" i="6" s="1"/>
  <c r="X101" i="6"/>
  <c r="AK101" i="6" s="1"/>
  <c r="S107" i="6"/>
  <c r="AF107" i="6" s="1"/>
  <c r="T107" i="6"/>
  <c r="U107" i="6"/>
  <c r="AH107" i="6" s="1"/>
  <c r="V107" i="6"/>
  <c r="AI107" i="6" s="1"/>
  <c r="W107" i="6"/>
  <c r="AJ107" i="6" s="1"/>
  <c r="X107" i="6"/>
  <c r="S108" i="6"/>
  <c r="AF108" i="6" s="1"/>
  <c r="T108" i="6"/>
  <c r="AG108" i="6" s="1"/>
  <c r="U108" i="6"/>
  <c r="AH108" i="6" s="1"/>
  <c r="V108" i="6"/>
  <c r="AI108" i="6" s="1"/>
  <c r="W108" i="6"/>
  <c r="AJ108" i="6" s="1"/>
  <c r="X108" i="6"/>
  <c r="AK108" i="6" s="1"/>
  <c r="S112" i="6"/>
  <c r="AF112" i="6" s="1"/>
  <c r="T112" i="6"/>
  <c r="U112" i="6"/>
  <c r="AH112" i="6" s="1"/>
  <c r="V112" i="6"/>
  <c r="AI112" i="6" s="1"/>
  <c r="W112" i="6"/>
  <c r="X112" i="6"/>
  <c r="AK112" i="6" s="1"/>
  <c r="S113" i="6"/>
  <c r="AF113" i="6" s="1"/>
  <c r="T113" i="6"/>
  <c r="AG113" i="6" s="1"/>
  <c r="U113" i="6"/>
  <c r="AH113" i="6" s="1"/>
  <c r="V113" i="6"/>
  <c r="AI113" i="6" s="1"/>
  <c r="W113" i="6"/>
  <c r="AJ113" i="6" s="1"/>
  <c r="X113" i="6"/>
  <c r="AK113" i="6" s="1"/>
  <c r="S114" i="6"/>
  <c r="AF114" i="6" s="1"/>
  <c r="T114" i="6"/>
  <c r="AG114" i="6" s="1"/>
  <c r="U114" i="6"/>
  <c r="AH114" i="6" s="1"/>
  <c r="V114" i="6"/>
  <c r="AI114" i="6" s="1"/>
  <c r="W114" i="6"/>
  <c r="X114" i="6"/>
  <c r="AK114" i="6" s="1"/>
  <c r="S117" i="6"/>
  <c r="AF117" i="6" s="1"/>
  <c r="T117" i="6"/>
  <c r="AG117" i="6" s="1"/>
  <c r="U117" i="6"/>
  <c r="AH117" i="6" s="1"/>
  <c r="V117" i="6"/>
  <c r="AI117" i="6" s="1"/>
  <c r="W117" i="6"/>
  <c r="AJ117" i="6" s="1"/>
  <c r="X117" i="6"/>
  <c r="AK117" i="6" s="1"/>
  <c r="Z23" i="6"/>
  <c r="AA23" i="6"/>
  <c r="AN23" i="6" s="1"/>
  <c r="AB23" i="6"/>
  <c r="AO23" i="6" s="1"/>
  <c r="AC23" i="6"/>
  <c r="AP23" i="6" s="1"/>
  <c r="AD23" i="6"/>
  <c r="AQ23" i="6" s="1"/>
  <c r="Z25" i="6"/>
  <c r="AA25" i="6"/>
  <c r="AN25" i="6" s="1"/>
  <c r="AB25" i="6"/>
  <c r="AO25" i="6" s="1"/>
  <c r="AC25" i="6"/>
  <c r="AP25" i="6" s="1"/>
  <c r="AD25" i="6"/>
  <c r="AQ25" i="6" s="1"/>
  <c r="Z26" i="6"/>
  <c r="AA26" i="6"/>
  <c r="AN26" i="6" s="1"/>
  <c r="AB26" i="6"/>
  <c r="AO26" i="6" s="1"/>
  <c r="AC26" i="6"/>
  <c r="AP26" i="6" s="1"/>
  <c r="AD26" i="6"/>
  <c r="AQ26" i="6" s="1"/>
  <c r="Z28" i="6"/>
  <c r="AA28" i="6"/>
  <c r="AN28" i="6" s="1"/>
  <c r="AB28" i="6"/>
  <c r="AO28" i="6" s="1"/>
  <c r="AC28" i="6"/>
  <c r="AP28" i="6" s="1"/>
  <c r="AD28" i="6"/>
  <c r="AQ28" i="6" s="1"/>
  <c r="Z29" i="6"/>
  <c r="AA29" i="6"/>
  <c r="AN29" i="6" s="1"/>
  <c r="AB29" i="6"/>
  <c r="AO29" i="6" s="1"/>
  <c r="AC29" i="6"/>
  <c r="AP29" i="6" s="1"/>
  <c r="AD29" i="6"/>
  <c r="AQ29" i="6" s="1"/>
  <c r="Z30" i="6"/>
  <c r="AA30" i="6"/>
  <c r="AN30" i="6" s="1"/>
  <c r="AB30" i="6"/>
  <c r="AO30" i="6" s="1"/>
  <c r="AC30" i="6"/>
  <c r="AP30" i="6" s="1"/>
  <c r="AD30" i="6"/>
  <c r="AQ30" i="6" s="1"/>
  <c r="Z31" i="6"/>
  <c r="AA31" i="6"/>
  <c r="AN31" i="6" s="1"/>
  <c r="AB31" i="6"/>
  <c r="AO31" i="6" s="1"/>
  <c r="AC31" i="6"/>
  <c r="AP31" i="6" s="1"/>
  <c r="AD31" i="6"/>
  <c r="AQ31" i="6" s="1"/>
  <c r="Z32" i="6"/>
  <c r="AA32" i="6"/>
  <c r="AN32" i="6" s="1"/>
  <c r="AB32" i="6"/>
  <c r="AO32" i="6" s="1"/>
  <c r="AC32" i="6"/>
  <c r="AP32" i="6" s="1"/>
  <c r="AD32" i="6"/>
  <c r="AQ32" i="6" s="1"/>
  <c r="Z33" i="6"/>
  <c r="AA33" i="6"/>
  <c r="AN33" i="6" s="1"/>
  <c r="AB33" i="6"/>
  <c r="AO33" i="6" s="1"/>
  <c r="AC33" i="6"/>
  <c r="AP33" i="6" s="1"/>
  <c r="AD33" i="6"/>
  <c r="AQ33" i="6" s="1"/>
  <c r="Z34" i="6"/>
  <c r="AA34" i="6"/>
  <c r="AN34" i="6" s="1"/>
  <c r="AB34" i="6"/>
  <c r="AO34" i="6" s="1"/>
  <c r="AC34" i="6"/>
  <c r="AP34" i="6" s="1"/>
  <c r="AD34" i="6"/>
  <c r="AQ34" i="6" s="1"/>
  <c r="Z35" i="6"/>
  <c r="AA35" i="6"/>
  <c r="AN35" i="6" s="1"/>
  <c r="AB35" i="6"/>
  <c r="AO35" i="6" s="1"/>
  <c r="AC35" i="6"/>
  <c r="AP35" i="6" s="1"/>
  <c r="AD35" i="6"/>
  <c r="AQ35" i="6" s="1"/>
  <c r="Z36" i="6"/>
  <c r="AA36" i="6"/>
  <c r="AN36" i="6" s="1"/>
  <c r="AB36" i="6"/>
  <c r="AO36" i="6" s="1"/>
  <c r="AC36" i="6"/>
  <c r="AP36" i="6" s="1"/>
  <c r="AD36" i="6"/>
  <c r="AQ36" i="6" s="1"/>
  <c r="Z37" i="6"/>
  <c r="AA37" i="6"/>
  <c r="AN37" i="6" s="1"/>
  <c r="AB37" i="6"/>
  <c r="AO37" i="6" s="1"/>
  <c r="AC37" i="6"/>
  <c r="AP37" i="6" s="1"/>
  <c r="AD37" i="6"/>
  <c r="AQ37" i="6" s="1"/>
  <c r="Z39" i="6"/>
  <c r="AA39" i="6"/>
  <c r="AN39" i="6" s="1"/>
  <c r="AB39" i="6"/>
  <c r="AC39" i="6"/>
  <c r="AP39" i="6" s="1"/>
  <c r="AD39" i="6"/>
  <c r="AQ39" i="6" s="1"/>
  <c r="Z40" i="6"/>
  <c r="AA40" i="6"/>
  <c r="AN40" i="6" s="1"/>
  <c r="AB40" i="6"/>
  <c r="AO40" i="6" s="1"/>
  <c r="AC40" i="6"/>
  <c r="AP40" i="6" s="1"/>
  <c r="AD40" i="6"/>
  <c r="AQ40" i="6" s="1"/>
  <c r="Z41" i="6"/>
  <c r="AA41" i="6"/>
  <c r="AN41" i="6" s="1"/>
  <c r="AB41" i="6"/>
  <c r="AO41" i="6" s="1"/>
  <c r="AC41" i="6"/>
  <c r="AP41" i="6" s="1"/>
  <c r="AD41" i="6"/>
  <c r="AQ41" i="6" s="1"/>
  <c r="Z42" i="6"/>
  <c r="AA42" i="6"/>
  <c r="AN42" i="6" s="1"/>
  <c r="AB42" i="6"/>
  <c r="AO42" i="6" s="1"/>
  <c r="AC42" i="6"/>
  <c r="AP42" i="6" s="1"/>
  <c r="AD42" i="6"/>
  <c r="AQ42" i="6" s="1"/>
  <c r="Z43" i="6"/>
  <c r="AA43" i="6"/>
  <c r="AN43" i="6" s="1"/>
  <c r="AB43" i="6"/>
  <c r="AO43" i="6" s="1"/>
  <c r="AC43" i="6"/>
  <c r="AP43" i="6" s="1"/>
  <c r="AD43" i="6"/>
  <c r="AQ43" i="6" s="1"/>
  <c r="Z44" i="6"/>
  <c r="AA44" i="6"/>
  <c r="AN44" i="6" s="1"/>
  <c r="AB44" i="6"/>
  <c r="AO44" i="6" s="1"/>
  <c r="AC44" i="6"/>
  <c r="AP44" i="6" s="1"/>
  <c r="AD44" i="6"/>
  <c r="AQ44" i="6" s="1"/>
  <c r="Z46" i="6"/>
  <c r="AA46" i="6"/>
  <c r="AN46" i="6" s="1"/>
  <c r="AB46" i="6"/>
  <c r="AO46" i="6" s="1"/>
  <c r="AC46" i="6"/>
  <c r="AD46" i="6"/>
  <c r="AQ46" i="6" s="1"/>
  <c r="Z47" i="6"/>
  <c r="AA47" i="6"/>
  <c r="AN47" i="6" s="1"/>
  <c r="AB47" i="6"/>
  <c r="AO47" i="6" s="1"/>
  <c r="AC47" i="6"/>
  <c r="AP47" i="6" s="1"/>
  <c r="AD47" i="6"/>
  <c r="Z48" i="6"/>
  <c r="AA48" i="6"/>
  <c r="AN48" i="6" s="1"/>
  <c r="AB48" i="6"/>
  <c r="AO48" i="6" s="1"/>
  <c r="AC48" i="6"/>
  <c r="AP48" i="6" s="1"/>
  <c r="AD48" i="6"/>
  <c r="AQ48" i="6" s="1"/>
  <c r="Z49" i="6"/>
  <c r="AA49" i="6"/>
  <c r="AN49" i="6" s="1"/>
  <c r="AB49" i="6"/>
  <c r="AO49" i="6" s="1"/>
  <c r="AC49" i="6"/>
  <c r="AP49" i="6" s="1"/>
  <c r="AD49" i="6"/>
  <c r="AQ49" i="6" s="1"/>
  <c r="Z50" i="6"/>
  <c r="AA50" i="6"/>
  <c r="AN50" i="6" s="1"/>
  <c r="AB50" i="6"/>
  <c r="AO50" i="6" s="1"/>
  <c r="AC50" i="6"/>
  <c r="AP50" i="6" s="1"/>
  <c r="AD50" i="6"/>
  <c r="AQ50" i="6" s="1"/>
  <c r="Z55" i="6"/>
  <c r="AA55" i="6"/>
  <c r="AN55" i="6" s="1"/>
  <c r="AB55" i="6"/>
  <c r="AC55" i="6"/>
  <c r="AD55" i="6"/>
  <c r="AQ55" i="6" s="1"/>
  <c r="Z56" i="6"/>
  <c r="AM56" i="6" s="1"/>
  <c r="AA56" i="6"/>
  <c r="AN56" i="6" s="1"/>
  <c r="AB56" i="6"/>
  <c r="AO56" i="6" s="1"/>
  <c r="AC56" i="6"/>
  <c r="AP56" i="6" s="1"/>
  <c r="AD56" i="6"/>
  <c r="AQ56" i="6" s="1"/>
  <c r="Z57" i="6"/>
  <c r="AM57" i="6" s="1"/>
  <c r="AA57" i="6"/>
  <c r="AN57" i="6" s="1"/>
  <c r="AB57" i="6"/>
  <c r="AO57" i="6" s="1"/>
  <c r="AC57" i="6"/>
  <c r="AP57" i="6" s="1"/>
  <c r="AD57" i="6"/>
  <c r="AQ57" i="6" s="1"/>
  <c r="Z58" i="6"/>
  <c r="AM58" i="6" s="1"/>
  <c r="AA58" i="6"/>
  <c r="AN58" i="6" s="1"/>
  <c r="AB58" i="6"/>
  <c r="AO58" i="6" s="1"/>
  <c r="AC58" i="6"/>
  <c r="AP58" i="6" s="1"/>
  <c r="AD58" i="6"/>
  <c r="AQ58" i="6" s="1"/>
  <c r="Z59" i="6"/>
  <c r="AM59" i="6" s="1"/>
  <c r="AA59" i="6"/>
  <c r="AN59" i="6" s="1"/>
  <c r="AB59" i="6"/>
  <c r="AO59" i="6" s="1"/>
  <c r="AC59" i="6"/>
  <c r="AP59" i="6" s="1"/>
  <c r="AD59" i="6"/>
  <c r="Z60" i="6"/>
  <c r="AM60" i="6" s="1"/>
  <c r="AA60" i="6"/>
  <c r="AN60" i="6" s="1"/>
  <c r="AB60" i="6"/>
  <c r="AO60" i="6" s="1"/>
  <c r="AC60" i="6"/>
  <c r="AP60" i="6" s="1"/>
  <c r="AD60" i="6"/>
  <c r="AQ60" i="6" s="1"/>
  <c r="Z61" i="6"/>
  <c r="AM61" i="6" s="1"/>
  <c r="AA61" i="6"/>
  <c r="AN61" i="6" s="1"/>
  <c r="AB61" i="6"/>
  <c r="AO61" i="6" s="1"/>
  <c r="AC61" i="6"/>
  <c r="AP61" i="6" s="1"/>
  <c r="AD61" i="6"/>
  <c r="AQ61" i="6" s="1"/>
  <c r="Z62" i="6"/>
  <c r="AM62" i="6" s="1"/>
  <c r="AA62" i="6"/>
  <c r="AN62" i="6" s="1"/>
  <c r="AB62" i="6"/>
  <c r="AO62" i="6" s="1"/>
  <c r="AC62" i="6"/>
  <c r="AP62" i="6" s="1"/>
  <c r="AD62" i="6"/>
  <c r="AQ62" i="6" s="1"/>
  <c r="AQ63" i="6"/>
  <c r="AP65" i="6"/>
  <c r="AM67" i="6"/>
  <c r="AQ67" i="6"/>
  <c r="Z68" i="6"/>
  <c r="AM68" i="6" s="1"/>
  <c r="AA68" i="6"/>
  <c r="AN68" i="6" s="1"/>
  <c r="AB68" i="6"/>
  <c r="AO68" i="6" s="1"/>
  <c r="AC68" i="6"/>
  <c r="AP68" i="6" s="1"/>
  <c r="AD68" i="6"/>
  <c r="AQ68" i="6" s="1"/>
  <c r="Z69" i="6"/>
  <c r="AM69" i="6" s="1"/>
  <c r="AA69" i="6"/>
  <c r="AN69" i="6" s="1"/>
  <c r="AB69" i="6"/>
  <c r="AO69" i="6" s="1"/>
  <c r="AC69" i="6"/>
  <c r="AP69" i="6" s="1"/>
  <c r="AD69" i="6"/>
  <c r="AQ69" i="6" s="1"/>
  <c r="Z71" i="6"/>
  <c r="AM71" i="6" s="1"/>
  <c r="AA71" i="6"/>
  <c r="AN71" i="6" s="1"/>
  <c r="AB71" i="6"/>
  <c r="AO71" i="6" s="1"/>
  <c r="AC71" i="6"/>
  <c r="AD71" i="6"/>
  <c r="AQ71" i="6" s="1"/>
  <c r="Z72" i="6"/>
  <c r="AM72" i="6" s="1"/>
  <c r="AA72" i="6"/>
  <c r="AN72" i="6" s="1"/>
  <c r="AB72" i="6"/>
  <c r="AO72" i="6" s="1"/>
  <c r="AC72" i="6"/>
  <c r="AP72" i="6" s="1"/>
  <c r="AD72" i="6"/>
  <c r="AQ72" i="6" s="1"/>
  <c r="Z73" i="6"/>
  <c r="AM73" i="6" s="1"/>
  <c r="AA73" i="6"/>
  <c r="AN73" i="6" s="1"/>
  <c r="AB73" i="6"/>
  <c r="AO73" i="6" s="1"/>
  <c r="AC73" i="6"/>
  <c r="AP73" i="6" s="1"/>
  <c r="AD73" i="6"/>
  <c r="AQ73" i="6" s="1"/>
  <c r="Z74" i="6"/>
  <c r="AM74" i="6" s="1"/>
  <c r="AA74" i="6"/>
  <c r="AN74" i="6" s="1"/>
  <c r="AB74" i="6"/>
  <c r="AO74" i="6" s="1"/>
  <c r="AC74" i="6"/>
  <c r="AP74" i="6" s="1"/>
  <c r="AD74" i="6"/>
  <c r="AQ74" i="6" s="1"/>
  <c r="Z75" i="6"/>
  <c r="AM75" i="6" s="1"/>
  <c r="AA75" i="6"/>
  <c r="AN75" i="6" s="1"/>
  <c r="AB75" i="6"/>
  <c r="AO75" i="6" s="1"/>
  <c r="AC75" i="6"/>
  <c r="AP75" i="6" s="1"/>
  <c r="AD75" i="6"/>
  <c r="AQ75" i="6" s="1"/>
  <c r="Z76" i="6"/>
  <c r="AM76" i="6" s="1"/>
  <c r="AA76" i="6"/>
  <c r="AN76" i="6" s="1"/>
  <c r="AB76" i="6"/>
  <c r="AO76" i="6" s="1"/>
  <c r="AC76" i="6"/>
  <c r="AP76" i="6" s="1"/>
  <c r="AD76" i="6"/>
  <c r="AQ76" i="6" s="1"/>
  <c r="Z81" i="6"/>
  <c r="AM81" i="6" s="1"/>
  <c r="AA81" i="6"/>
  <c r="AN81" i="6" s="1"/>
  <c r="AB81" i="6"/>
  <c r="AO81" i="6" s="1"/>
  <c r="AC81" i="6"/>
  <c r="AP81" i="6" s="1"/>
  <c r="AD81" i="6"/>
  <c r="AQ81" i="6" s="1"/>
  <c r="Z82" i="6"/>
  <c r="AM82" i="6" s="1"/>
  <c r="AA82" i="6"/>
  <c r="AN82" i="6" s="1"/>
  <c r="AB82" i="6"/>
  <c r="AO82" i="6" s="1"/>
  <c r="AC82" i="6"/>
  <c r="AP82" i="6" s="1"/>
  <c r="AD82" i="6"/>
  <c r="AQ82" i="6" s="1"/>
  <c r="Z83" i="6"/>
  <c r="AM83" i="6" s="1"/>
  <c r="AA83" i="6"/>
  <c r="AN83" i="6" s="1"/>
  <c r="AB83" i="6"/>
  <c r="AO83" i="6" s="1"/>
  <c r="AC83" i="6"/>
  <c r="AP83" i="6" s="1"/>
  <c r="AD83" i="6"/>
  <c r="AQ83" i="6" s="1"/>
  <c r="Z85" i="6"/>
  <c r="Z84" i="6" s="1"/>
  <c r="AA85" i="6"/>
  <c r="AA84" i="6" s="1"/>
  <c r="AB85" i="6"/>
  <c r="AB84" i="6" s="1"/>
  <c r="AC85" i="6"/>
  <c r="AC84" i="6" s="1"/>
  <c r="AD85" i="6"/>
  <c r="AD84" i="6" s="1"/>
  <c r="Z88" i="6"/>
  <c r="AA88" i="6"/>
  <c r="AB88" i="6"/>
  <c r="AO88" i="6" s="1"/>
  <c r="AC88" i="6"/>
  <c r="AP88" i="6" s="1"/>
  <c r="AD88" i="6"/>
  <c r="Z89" i="6"/>
  <c r="AM89" i="6" s="1"/>
  <c r="AA89" i="6"/>
  <c r="AN89" i="6" s="1"/>
  <c r="AB89" i="6"/>
  <c r="AO89" i="6" s="1"/>
  <c r="AC89" i="6"/>
  <c r="AP89" i="6" s="1"/>
  <c r="AD89" i="6"/>
  <c r="AQ89" i="6" s="1"/>
  <c r="Z90" i="6"/>
  <c r="AM90" i="6" s="1"/>
  <c r="AA90" i="6"/>
  <c r="AN90" i="6" s="1"/>
  <c r="AB90" i="6"/>
  <c r="AO90" i="6" s="1"/>
  <c r="AC90" i="6"/>
  <c r="AP90" i="6" s="1"/>
  <c r="AD90" i="6"/>
  <c r="AQ90" i="6" s="1"/>
  <c r="Z96" i="6"/>
  <c r="AM96" i="6" s="1"/>
  <c r="AA96" i="6"/>
  <c r="AN96" i="6" s="1"/>
  <c r="AB96" i="6"/>
  <c r="AO96" i="6" s="1"/>
  <c r="AC96" i="6"/>
  <c r="AP96" i="6" s="1"/>
  <c r="AD96" i="6"/>
  <c r="AQ96" i="6" s="1"/>
  <c r="Z97" i="6"/>
  <c r="AM97" i="6" s="1"/>
  <c r="AA97" i="6"/>
  <c r="AN97" i="6" s="1"/>
  <c r="AB97" i="6"/>
  <c r="AO97" i="6" s="1"/>
  <c r="AC97" i="6"/>
  <c r="AP97" i="6" s="1"/>
  <c r="AD97" i="6"/>
  <c r="AQ97" i="6" s="1"/>
  <c r="Z98" i="6"/>
  <c r="AM98" i="6" s="1"/>
  <c r="AA98" i="6"/>
  <c r="AB98" i="6"/>
  <c r="AO98" i="6" s="1"/>
  <c r="AC98" i="6"/>
  <c r="AD98" i="6"/>
  <c r="Z99" i="6"/>
  <c r="AM99" i="6" s="1"/>
  <c r="AA99" i="6"/>
  <c r="AN99" i="6" s="1"/>
  <c r="AB99" i="6"/>
  <c r="AO99" i="6" s="1"/>
  <c r="AC99" i="6"/>
  <c r="AP99" i="6" s="1"/>
  <c r="AD99" i="6"/>
  <c r="AQ99" i="6" s="1"/>
  <c r="Z100" i="6"/>
  <c r="AM100" i="6" s="1"/>
  <c r="AA100" i="6"/>
  <c r="AN100" i="6" s="1"/>
  <c r="AB100" i="6"/>
  <c r="AO100" i="6" s="1"/>
  <c r="AC100" i="6"/>
  <c r="AP100" i="6" s="1"/>
  <c r="AD100" i="6"/>
  <c r="AQ100" i="6" s="1"/>
  <c r="Z101" i="6"/>
  <c r="AM101" i="6" s="1"/>
  <c r="AA101" i="6"/>
  <c r="AN101" i="6" s="1"/>
  <c r="AB101" i="6"/>
  <c r="AO101" i="6" s="1"/>
  <c r="AC101" i="6"/>
  <c r="AP101" i="6" s="1"/>
  <c r="AD101" i="6"/>
  <c r="AQ101" i="6" s="1"/>
  <c r="Z107" i="6"/>
  <c r="AA107" i="6"/>
  <c r="AN107" i="6" s="1"/>
  <c r="AB107" i="6"/>
  <c r="AO107" i="6" s="1"/>
  <c r="AC107" i="6"/>
  <c r="AD107" i="6"/>
  <c r="AQ107" i="6" s="1"/>
  <c r="Z108" i="6"/>
  <c r="AM108" i="6" s="1"/>
  <c r="AA108" i="6"/>
  <c r="AN108" i="6" s="1"/>
  <c r="AB108" i="6"/>
  <c r="AO108" i="6" s="1"/>
  <c r="AC108" i="6"/>
  <c r="AP108" i="6" s="1"/>
  <c r="AD108" i="6"/>
  <c r="AQ108" i="6" s="1"/>
  <c r="Z112" i="6"/>
  <c r="AM112" i="6" s="1"/>
  <c r="AA112" i="6"/>
  <c r="AN112" i="6" s="1"/>
  <c r="AB112" i="6"/>
  <c r="AO112" i="6" s="1"/>
  <c r="AC112" i="6"/>
  <c r="AD112" i="6"/>
  <c r="AQ112" i="6" s="1"/>
  <c r="Z113" i="6"/>
  <c r="AM113" i="6" s="1"/>
  <c r="AA113" i="6"/>
  <c r="AN113" i="6" s="1"/>
  <c r="AB113" i="6"/>
  <c r="AO113" i="6" s="1"/>
  <c r="AC113" i="6"/>
  <c r="AP113" i="6" s="1"/>
  <c r="AD113" i="6"/>
  <c r="AQ113" i="6" s="1"/>
  <c r="Z114" i="6"/>
  <c r="AM114" i="6" s="1"/>
  <c r="AA114" i="6"/>
  <c r="AN114" i="6" s="1"/>
  <c r="AB114" i="6"/>
  <c r="AO114" i="6" s="1"/>
  <c r="AC114" i="6"/>
  <c r="AP114" i="6" s="1"/>
  <c r="AD114" i="6"/>
  <c r="AQ114" i="6" s="1"/>
  <c r="Z117" i="6"/>
  <c r="AM117" i="6" s="1"/>
  <c r="AA117" i="6"/>
  <c r="AN117" i="6" s="1"/>
  <c r="AB117" i="6"/>
  <c r="AO117" i="6" s="1"/>
  <c r="AC117" i="6"/>
  <c r="AP117" i="6" s="1"/>
  <c r="AD117" i="6"/>
  <c r="AQ117" i="6" s="1"/>
  <c r="AB20" i="6"/>
  <c r="AC20" i="6"/>
  <c r="AP20" i="6" s="1"/>
  <c r="AD20" i="6"/>
  <c r="AB21" i="6"/>
  <c r="AO21" i="6" s="1"/>
  <c r="AC21" i="6"/>
  <c r="AP21" i="6" s="1"/>
  <c r="AD21" i="6"/>
  <c r="AQ21" i="6" s="1"/>
  <c r="AB22" i="6"/>
  <c r="AO22" i="6" s="1"/>
  <c r="AC22" i="6"/>
  <c r="AP22" i="6" s="1"/>
  <c r="AD22" i="6"/>
  <c r="AQ22" i="6" s="1"/>
  <c r="Z20" i="6"/>
  <c r="AA20" i="6"/>
  <c r="Z21" i="6"/>
  <c r="AA21" i="6"/>
  <c r="AN21" i="6" s="1"/>
  <c r="Z22" i="6"/>
  <c r="AA22" i="6"/>
  <c r="AN22" i="6" s="1"/>
  <c r="AN16" i="6"/>
  <c r="Z8" i="6"/>
  <c r="AA8" i="6"/>
  <c r="AN8" i="6" s="1"/>
  <c r="AB8" i="6"/>
  <c r="AO8" i="6" s="1"/>
  <c r="AC8" i="6"/>
  <c r="AP8" i="6" s="1"/>
  <c r="AD8" i="6"/>
  <c r="AQ8" i="6" s="1"/>
  <c r="Z9" i="6"/>
  <c r="AA9" i="6"/>
  <c r="AN9" i="6" s="1"/>
  <c r="AB9" i="6"/>
  <c r="AO9" i="6" s="1"/>
  <c r="AC9" i="6"/>
  <c r="AP9" i="6" s="1"/>
  <c r="AD9" i="6"/>
  <c r="AQ9" i="6" s="1"/>
  <c r="Z10" i="6"/>
  <c r="AA10" i="6"/>
  <c r="AN10" i="6" s="1"/>
  <c r="AB10" i="6"/>
  <c r="AO10" i="6" s="1"/>
  <c r="AC10" i="6"/>
  <c r="AP10" i="6" s="1"/>
  <c r="AD10" i="6"/>
  <c r="AQ10" i="6" s="1"/>
  <c r="Z11" i="6"/>
  <c r="AA11" i="6"/>
  <c r="AN11" i="6" s="1"/>
  <c r="AB11" i="6"/>
  <c r="AO11" i="6" s="1"/>
  <c r="AC11" i="6"/>
  <c r="AP11" i="6" s="1"/>
  <c r="AD11" i="6"/>
  <c r="AQ11" i="6" s="1"/>
  <c r="Z12" i="6"/>
  <c r="AA12" i="6"/>
  <c r="AN12" i="6" s="1"/>
  <c r="AB12" i="6"/>
  <c r="AO12" i="6" s="1"/>
  <c r="AC12" i="6"/>
  <c r="AP12" i="6" s="1"/>
  <c r="AD12" i="6"/>
  <c r="AQ12" i="6" s="1"/>
  <c r="Z13" i="6"/>
  <c r="AA13" i="6"/>
  <c r="AN13" i="6" s="1"/>
  <c r="AB13" i="6"/>
  <c r="AO13" i="6" s="1"/>
  <c r="AC13" i="6"/>
  <c r="AP13" i="6" s="1"/>
  <c r="AD13" i="6"/>
  <c r="AQ13" i="6" s="1"/>
  <c r="Z14" i="6"/>
  <c r="AA14" i="6"/>
  <c r="AN14" i="6" s="1"/>
  <c r="AB14" i="6"/>
  <c r="AO14" i="6" s="1"/>
  <c r="AC14" i="6"/>
  <c r="AP14" i="6" s="1"/>
  <c r="AD14" i="6"/>
  <c r="AQ14" i="6" s="1"/>
  <c r="Y117" i="6"/>
  <c r="AL117" i="6" s="1"/>
  <c r="Y113" i="6"/>
  <c r="AL113" i="6" s="1"/>
  <c r="Y114" i="6"/>
  <c r="AL114" i="6" s="1"/>
  <c r="Y112" i="6"/>
  <c r="AL112" i="6" s="1"/>
  <c r="Y108" i="6"/>
  <c r="AL108" i="6" s="1"/>
  <c r="Y107" i="6"/>
  <c r="AL107" i="6" s="1"/>
  <c r="Y97" i="6"/>
  <c r="AL97" i="6" s="1"/>
  <c r="Y98" i="6"/>
  <c r="AL98" i="6" s="1"/>
  <c r="Y99" i="6"/>
  <c r="AL99" i="6" s="1"/>
  <c r="Y100" i="6"/>
  <c r="AL100" i="6" s="1"/>
  <c r="Y101" i="6"/>
  <c r="AL101" i="6" s="1"/>
  <c r="Y96" i="6"/>
  <c r="AL96" i="6" s="1"/>
  <c r="Y89" i="6"/>
  <c r="AL89" i="6" s="1"/>
  <c r="Y90" i="6"/>
  <c r="AL90" i="6" s="1"/>
  <c r="Y88" i="6"/>
  <c r="AL88" i="6" s="1"/>
  <c r="Y85" i="6"/>
  <c r="Y84" i="6" s="1"/>
  <c r="Y82" i="6"/>
  <c r="AL82" i="6" s="1"/>
  <c r="Y83" i="6"/>
  <c r="AL83" i="6" s="1"/>
  <c r="Y81" i="6"/>
  <c r="AL81" i="6" s="1"/>
  <c r="Y72" i="6"/>
  <c r="AL72" i="6" s="1"/>
  <c r="Y73" i="6"/>
  <c r="AL73" i="6" s="1"/>
  <c r="Y74" i="6"/>
  <c r="AL74" i="6" s="1"/>
  <c r="Y75" i="6"/>
  <c r="AL75" i="6" s="1"/>
  <c r="Y76" i="6"/>
  <c r="AL76" i="6" s="1"/>
  <c r="Y71" i="6"/>
  <c r="AL71" i="6" s="1"/>
  <c r="Y68" i="6"/>
  <c r="AL68" i="6" s="1"/>
  <c r="Y69" i="6"/>
  <c r="AL69" i="6" s="1"/>
  <c r="Y56" i="6"/>
  <c r="AL56" i="6" s="1"/>
  <c r="Y57" i="6"/>
  <c r="AL57" i="6" s="1"/>
  <c r="Y58" i="6"/>
  <c r="AL58" i="6" s="1"/>
  <c r="Y59" i="6"/>
  <c r="AL59" i="6" s="1"/>
  <c r="Y60" i="6"/>
  <c r="AL60" i="6" s="1"/>
  <c r="Y61" i="6"/>
  <c r="AL61" i="6" s="1"/>
  <c r="Y62" i="6"/>
  <c r="AL62" i="6" s="1"/>
  <c r="Y55" i="6"/>
  <c r="AL55" i="6" s="1"/>
  <c r="Y47" i="6"/>
  <c r="AL47" i="6" s="1"/>
  <c r="Y48" i="6"/>
  <c r="AL48" i="6" s="1"/>
  <c r="Y49" i="6"/>
  <c r="AL49" i="6" s="1"/>
  <c r="Y50" i="6"/>
  <c r="AL50" i="6" s="1"/>
  <c r="Y46" i="6"/>
  <c r="AL46" i="6" s="1"/>
  <c r="Y40" i="6"/>
  <c r="AL40" i="6" s="1"/>
  <c r="Y41" i="6"/>
  <c r="AL41" i="6" s="1"/>
  <c r="Y42" i="6"/>
  <c r="AL42" i="6" s="1"/>
  <c r="Y43" i="6"/>
  <c r="AL43" i="6" s="1"/>
  <c r="Y44" i="6"/>
  <c r="AL44" i="6" s="1"/>
  <c r="Y39" i="6"/>
  <c r="AL39" i="6" s="1"/>
  <c r="Y29" i="6"/>
  <c r="AL29" i="6" s="1"/>
  <c r="Y30" i="6"/>
  <c r="AL30" i="6" s="1"/>
  <c r="Y31" i="6"/>
  <c r="AL31" i="6" s="1"/>
  <c r="Y32" i="6"/>
  <c r="AL32" i="6" s="1"/>
  <c r="Y33" i="6"/>
  <c r="AL33" i="6" s="1"/>
  <c r="Y34" i="6"/>
  <c r="AL34" i="6" s="1"/>
  <c r="Y35" i="6"/>
  <c r="AL35" i="6" s="1"/>
  <c r="Y36" i="6"/>
  <c r="AL36" i="6" s="1"/>
  <c r="Y37" i="6"/>
  <c r="AL37" i="6" s="1"/>
  <c r="Y28" i="6"/>
  <c r="AL28" i="6" s="1"/>
  <c r="Y26" i="6"/>
  <c r="AL26" i="6" s="1"/>
  <c r="Y25" i="6"/>
  <c r="AL25" i="6" s="1"/>
  <c r="Y23" i="6"/>
  <c r="AL23" i="6" s="1"/>
  <c r="Y21" i="6"/>
  <c r="AL21" i="6" s="1"/>
  <c r="Y22" i="6"/>
  <c r="AL22" i="6" s="1"/>
  <c r="Y20" i="6"/>
  <c r="AL20" i="6" s="1"/>
  <c r="Y9" i="6"/>
  <c r="AL9" i="6" s="1"/>
  <c r="Y10" i="6"/>
  <c r="AL10" i="6" s="1"/>
  <c r="Y11" i="6"/>
  <c r="AL11" i="6" s="1"/>
  <c r="Y12" i="6"/>
  <c r="AL12" i="6" s="1"/>
  <c r="Y13" i="6"/>
  <c r="AL13" i="6" s="1"/>
  <c r="Y14" i="6"/>
  <c r="AL14" i="6" s="1"/>
  <c r="Y8" i="6"/>
  <c r="AL8" i="6" s="1"/>
  <c r="F19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F92" i="6"/>
  <c r="G92" i="6"/>
  <c r="H92" i="6"/>
  <c r="I92" i="6"/>
  <c r="J92" i="6"/>
  <c r="K92" i="6"/>
  <c r="L92" i="6"/>
  <c r="M92" i="6"/>
  <c r="N92" i="6"/>
  <c r="O92" i="6"/>
  <c r="P92" i="6"/>
  <c r="Q92" i="6"/>
  <c r="G45" i="6"/>
  <c r="H45" i="6"/>
  <c r="I45" i="6"/>
  <c r="J45" i="6"/>
  <c r="K45" i="6"/>
  <c r="L45" i="6"/>
  <c r="M45" i="6"/>
  <c r="N45" i="6"/>
  <c r="O45" i="6"/>
  <c r="P45" i="6"/>
  <c r="Q45" i="6"/>
  <c r="F45" i="6"/>
  <c r="AE117" i="20" a="1"/>
  <c r="AE117" i="20" s="1"/>
  <c r="AE114" i="20" a="1"/>
  <c r="AE114" i="20" s="1"/>
  <c r="AE113" i="20" a="1"/>
  <c r="AE113" i="20" s="1"/>
  <c r="AE112" i="20" a="1"/>
  <c r="AE112" i="20" s="1"/>
  <c r="AE111" i="20" a="1"/>
  <c r="AE111" i="20" s="1"/>
  <c r="AE110" i="20" a="1"/>
  <c r="AE110" i="20" s="1"/>
  <c r="AE108" i="20" a="1"/>
  <c r="AE108" i="20" s="1"/>
  <c r="AE107" i="20" a="1"/>
  <c r="AE107" i="20" s="1"/>
  <c r="AE106" i="20" a="1"/>
  <c r="AE106" i="20" s="1"/>
  <c r="AE105" i="20" a="1"/>
  <c r="AE105" i="20" s="1"/>
  <c r="AE103" i="20" a="1"/>
  <c r="AE103" i="20" s="1"/>
  <c r="AE102" i="20" a="1"/>
  <c r="AE102" i="20" s="1"/>
  <c r="AE101" i="20" a="1"/>
  <c r="AE101" i="20" s="1"/>
  <c r="AE100" i="20" a="1"/>
  <c r="AE100" i="20" s="1"/>
  <c r="AE99" i="20" a="1"/>
  <c r="AE99" i="20" s="1"/>
  <c r="AE98" i="20" a="1"/>
  <c r="AE98" i="20" s="1"/>
  <c r="AE97" i="20" a="1"/>
  <c r="AE97" i="20" s="1"/>
  <c r="AE96" i="20" a="1"/>
  <c r="AE96" i="20" s="1"/>
  <c r="AE93" i="20" a="1"/>
  <c r="AE93" i="20" s="1"/>
  <c r="AE92" i="20" a="1"/>
  <c r="AE92" i="20" s="1"/>
  <c r="AE91" i="20" a="1"/>
  <c r="AE91" i="20" s="1"/>
  <c r="AE90" i="20" a="1"/>
  <c r="AE90" i="20" s="1"/>
  <c r="AE89" i="20" a="1"/>
  <c r="AE89" i="20" s="1"/>
  <c r="AE88" i="20" a="1"/>
  <c r="AE88" i="20" s="1"/>
  <c r="AE87" i="20" a="1"/>
  <c r="AE87" i="20" s="1"/>
  <c r="AE86" i="20" a="1"/>
  <c r="AE86" i="20" s="1"/>
  <c r="AE85" i="20" a="1"/>
  <c r="AE85" i="20" s="1"/>
  <c r="AE84" i="20" a="1"/>
  <c r="AE84" i="20" s="1"/>
  <c r="AE83" i="20" a="1"/>
  <c r="AE83" i="20" s="1"/>
  <c r="AE82" i="20" a="1"/>
  <c r="AE82" i="20" s="1"/>
  <c r="AE81" i="20" a="1"/>
  <c r="AE81" i="20" s="1"/>
  <c r="AE80" i="20" a="1"/>
  <c r="AE80" i="20" s="1"/>
  <c r="AE79" i="20" a="1"/>
  <c r="AE79" i="20" s="1"/>
  <c r="AE78" i="20" a="1"/>
  <c r="AE78" i="20" s="1"/>
  <c r="AE77" i="20" a="1"/>
  <c r="AE77" i="20" s="1"/>
  <c r="AE76" i="20" a="1"/>
  <c r="AE76" i="20" s="1"/>
  <c r="AE75" i="20" a="1"/>
  <c r="AE75" i="20" s="1"/>
  <c r="AE74" i="20" a="1"/>
  <c r="AE74" i="20" s="1"/>
  <c r="AE73" i="20" a="1"/>
  <c r="AE73" i="20" s="1"/>
  <c r="AE72" i="20" a="1"/>
  <c r="AE72" i="20" s="1"/>
  <c r="AE71" i="20" a="1"/>
  <c r="AE71" i="20" s="1"/>
  <c r="AE70" i="20" a="1"/>
  <c r="AE70" i="20" s="1"/>
  <c r="AE69" i="20" a="1"/>
  <c r="AE69" i="20" s="1"/>
  <c r="AE68" i="20" a="1"/>
  <c r="AE68" i="20" s="1"/>
  <c r="AE67" i="20" a="1"/>
  <c r="AE67" i="20" s="1"/>
  <c r="AE66" i="20" a="1"/>
  <c r="AE66" i="20" s="1"/>
  <c r="AE65" i="20" a="1"/>
  <c r="AE65" i="20" s="1"/>
  <c r="AE64" i="20" a="1"/>
  <c r="AE64" i="20" s="1"/>
  <c r="AE63" i="20" a="1"/>
  <c r="AE63" i="20" s="1"/>
  <c r="AE62" i="20" a="1"/>
  <c r="AE62" i="20" s="1"/>
  <c r="AE61" i="20" a="1"/>
  <c r="AE61" i="20" s="1"/>
  <c r="AE60" i="20" a="1"/>
  <c r="AE60" i="20" s="1"/>
  <c r="AE59" i="20" a="1"/>
  <c r="AE59" i="20" s="1"/>
  <c r="AE58" i="20" a="1"/>
  <c r="AE58" i="20" s="1"/>
  <c r="AE57" i="20" a="1"/>
  <c r="AE57" i="20" s="1"/>
  <c r="AE56" i="20" a="1"/>
  <c r="AE56" i="20" s="1"/>
  <c r="AE55" i="20" a="1"/>
  <c r="AE55" i="20" s="1"/>
  <c r="AE54" i="20" a="1"/>
  <c r="AE54" i="20" s="1"/>
  <c r="AE51" i="20" a="1"/>
  <c r="AE51" i="20" s="1"/>
  <c r="AE50" i="20" a="1"/>
  <c r="AE50" i="20" s="1"/>
  <c r="AE49" i="20" a="1"/>
  <c r="AE49" i="20" s="1"/>
  <c r="AE48" i="20" a="1"/>
  <c r="AE48" i="20" s="1"/>
  <c r="AE47" i="20" a="1"/>
  <c r="AE47" i="20" s="1"/>
  <c r="AE46" i="20" a="1"/>
  <c r="AE46" i="20" s="1"/>
  <c r="AE45" i="20" a="1"/>
  <c r="AE45" i="20" s="1"/>
  <c r="AE44" i="20" a="1"/>
  <c r="AE44" i="20" s="1"/>
  <c r="AE43" i="20" a="1"/>
  <c r="AE43" i="20" s="1"/>
  <c r="AE42" i="20" a="1"/>
  <c r="AE42" i="20" s="1"/>
  <c r="AE41" i="20" a="1"/>
  <c r="AE41" i="20" s="1"/>
  <c r="AE40" i="20" a="1"/>
  <c r="AE40" i="20" s="1"/>
  <c r="AE39" i="20" a="1"/>
  <c r="AE39" i="20" s="1"/>
  <c r="AE38" i="20" a="1"/>
  <c r="AE38" i="20" s="1"/>
  <c r="AE37" i="20" a="1"/>
  <c r="AE37" i="20" s="1"/>
  <c r="AE36" i="20" a="1"/>
  <c r="AE36" i="20" s="1"/>
  <c r="AE35" i="20" a="1"/>
  <c r="AE35" i="20" s="1"/>
  <c r="AE34" i="20" a="1"/>
  <c r="AE34" i="20" s="1"/>
  <c r="AE33" i="20" a="1"/>
  <c r="AE33" i="20" s="1"/>
  <c r="AE32" i="20" a="1"/>
  <c r="AE32" i="20" s="1"/>
  <c r="AE31" i="20" a="1"/>
  <c r="AE31" i="20" s="1"/>
  <c r="AE30" i="20" a="1"/>
  <c r="AE30" i="20" s="1"/>
  <c r="AE29" i="20" a="1"/>
  <c r="AE29" i="20" s="1"/>
  <c r="AE28" i="20" a="1"/>
  <c r="AE28" i="20" s="1"/>
  <c r="AE27" i="20" a="1"/>
  <c r="AE27" i="20" s="1"/>
  <c r="AE26" i="20" a="1"/>
  <c r="AE26" i="20" s="1"/>
  <c r="AE25" i="20" a="1"/>
  <c r="AE25" i="20" s="1"/>
  <c r="AE24" i="20" a="1"/>
  <c r="AE24" i="20" s="1"/>
  <c r="AE23" i="20" a="1"/>
  <c r="AE23" i="20" s="1"/>
  <c r="AE22" i="20" a="1"/>
  <c r="AE22" i="20" s="1"/>
  <c r="AE21" i="20" a="1"/>
  <c r="AE21" i="20" s="1"/>
  <c r="AE20" i="20" a="1"/>
  <c r="AE20" i="20" s="1"/>
  <c r="AE19" i="20" a="1"/>
  <c r="AE19" i="20" s="1"/>
  <c r="AE18" i="20" a="1"/>
  <c r="AE18" i="20" s="1"/>
  <c r="AE17" i="20" a="1"/>
  <c r="AE17" i="20" s="1"/>
  <c r="AE16" i="20" a="1"/>
  <c r="AE16" i="20" s="1"/>
  <c r="AE15" i="20" a="1"/>
  <c r="AE15" i="20" s="1"/>
  <c r="AE14" i="20" a="1"/>
  <c r="AE14" i="20" s="1"/>
  <c r="AE13" i="20" a="1"/>
  <c r="AE13" i="20" s="1"/>
  <c r="AE12" i="20" a="1"/>
  <c r="AE12" i="20" s="1"/>
  <c r="AE11" i="20" a="1"/>
  <c r="AE11" i="20" s="1"/>
  <c r="AE10" i="20" a="1"/>
  <c r="AE10" i="20" s="1"/>
  <c r="AE9" i="20" a="1"/>
  <c r="AE9" i="20" s="1"/>
  <c r="AE8" i="20" a="1"/>
  <c r="AE8" i="20" s="1"/>
  <c r="AE7" i="20" a="1"/>
  <c r="AE7" i="20" s="1"/>
  <c r="R78" i="20" a="1"/>
  <c r="R78" i="20" s="1"/>
  <c r="R79" i="20" a="1"/>
  <c r="R79" i="20" s="1"/>
  <c r="R80" i="20" a="1"/>
  <c r="R80" i="20" s="1"/>
  <c r="R81" i="20" a="1"/>
  <c r="R81" i="20" s="1"/>
  <c r="R82" i="20" a="1"/>
  <c r="R82" i="20" s="1"/>
  <c r="R83" i="20" a="1"/>
  <c r="R83" i="20" s="1"/>
  <c r="R84" i="20" a="1"/>
  <c r="R84" i="20" s="1"/>
  <c r="R85" i="20" a="1"/>
  <c r="R85" i="20" s="1"/>
  <c r="R86" i="20" a="1"/>
  <c r="R86" i="20" s="1"/>
  <c r="R87" i="20" a="1"/>
  <c r="R87" i="20" s="1"/>
  <c r="R88" i="20" a="1"/>
  <c r="R88" i="20" s="1"/>
  <c r="R89" i="20" a="1"/>
  <c r="R89" i="20" s="1"/>
  <c r="R90" i="20" a="1"/>
  <c r="R90" i="20" s="1"/>
  <c r="R91" i="20" a="1"/>
  <c r="R91" i="20" s="1"/>
  <c r="R92" i="20" a="1"/>
  <c r="R92" i="20" s="1"/>
  <c r="R93" i="20" a="1"/>
  <c r="R93" i="20" s="1"/>
  <c r="R96" i="20" a="1"/>
  <c r="R96" i="20" s="1"/>
  <c r="R97" i="20" a="1"/>
  <c r="R97" i="20" s="1"/>
  <c r="R98" i="20" a="1"/>
  <c r="R98" i="20" s="1"/>
  <c r="R99" i="20" a="1"/>
  <c r="R99" i="20" s="1"/>
  <c r="R100" i="20" a="1"/>
  <c r="R100" i="20" s="1"/>
  <c r="R101" i="20" a="1"/>
  <c r="R101" i="20" s="1"/>
  <c r="R102" i="20" a="1"/>
  <c r="R102" i="20" s="1"/>
  <c r="R103" i="20" a="1"/>
  <c r="R103" i="20" s="1"/>
  <c r="R105" i="20" a="1"/>
  <c r="R105" i="20" s="1"/>
  <c r="R106" i="20" a="1"/>
  <c r="R106" i="20" s="1"/>
  <c r="R107" i="20" a="1"/>
  <c r="R107" i="20" s="1"/>
  <c r="R108" i="20" a="1"/>
  <c r="R108" i="20" s="1"/>
  <c r="R110" i="20" a="1"/>
  <c r="R110" i="20" s="1"/>
  <c r="R111" i="20" a="1"/>
  <c r="R111" i="20" s="1"/>
  <c r="R112" i="20" a="1"/>
  <c r="R112" i="20" s="1"/>
  <c r="R113" i="20" a="1"/>
  <c r="R113" i="20" s="1"/>
  <c r="R114" i="20" a="1"/>
  <c r="R114" i="20" s="1"/>
  <c r="R117" i="20" a="1"/>
  <c r="R117" i="20" s="1"/>
  <c r="R7" i="20" a="1"/>
  <c r="R7" i="20" s="1"/>
  <c r="R8" i="20" a="1"/>
  <c r="R8" i="20" s="1"/>
  <c r="R9" i="20" a="1"/>
  <c r="R9" i="20" s="1"/>
  <c r="R10" i="20" a="1"/>
  <c r="R10" i="20" s="1"/>
  <c r="R11" i="20" a="1"/>
  <c r="R11" i="20" s="1"/>
  <c r="R12" i="20" a="1"/>
  <c r="R12" i="20" s="1"/>
  <c r="R13" i="20" a="1"/>
  <c r="R13" i="20" s="1"/>
  <c r="R14" i="20" a="1"/>
  <c r="R14" i="20" s="1"/>
  <c r="R15" i="20" a="1"/>
  <c r="R15" i="20" s="1"/>
  <c r="R16" i="20" a="1"/>
  <c r="R16" i="20" s="1"/>
  <c r="R17" i="20" a="1"/>
  <c r="R17" i="20" s="1"/>
  <c r="R18" i="20" a="1"/>
  <c r="R18" i="20" s="1"/>
  <c r="R19" i="20" a="1"/>
  <c r="R19" i="20" s="1"/>
  <c r="R20" i="20" a="1"/>
  <c r="R20" i="20" s="1"/>
  <c r="R21" i="20" a="1"/>
  <c r="R21" i="20" s="1"/>
  <c r="R22" i="20" a="1"/>
  <c r="R22" i="20" s="1"/>
  <c r="R23" i="20" a="1"/>
  <c r="R23" i="20" s="1"/>
  <c r="R24" i="20" a="1"/>
  <c r="R24" i="20" s="1"/>
  <c r="R25" i="20" a="1"/>
  <c r="R25" i="20" s="1"/>
  <c r="R26" i="20" a="1"/>
  <c r="R26" i="20" s="1"/>
  <c r="R27" i="20" a="1"/>
  <c r="R27" i="20" s="1"/>
  <c r="R28" i="20" a="1"/>
  <c r="R28" i="20" s="1"/>
  <c r="R29" i="20" a="1"/>
  <c r="R29" i="20" s="1"/>
  <c r="R30" i="20" a="1"/>
  <c r="R30" i="20" s="1"/>
  <c r="R31" i="20" a="1"/>
  <c r="R31" i="20" s="1"/>
  <c r="R32" i="20" a="1"/>
  <c r="R32" i="20" s="1"/>
  <c r="R33" i="20" a="1"/>
  <c r="R33" i="20" s="1"/>
  <c r="R34" i="20" a="1"/>
  <c r="R34" i="20" s="1"/>
  <c r="R35" i="20" a="1"/>
  <c r="R35" i="20" s="1"/>
  <c r="R36" i="20" a="1"/>
  <c r="R36" i="20" s="1"/>
  <c r="R37" i="20" a="1"/>
  <c r="R37" i="20" s="1"/>
  <c r="R38" i="20" a="1"/>
  <c r="R38" i="20" s="1"/>
  <c r="R39" i="20" a="1"/>
  <c r="R39" i="20" s="1"/>
  <c r="R40" i="20" a="1"/>
  <c r="R40" i="20" s="1"/>
  <c r="R41" i="20" a="1"/>
  <c r="R41" i="20" s="1"/>
  <c r="R42" i="20" a="1"/>
  <c r="R42" i="20" s="1"/>
  <c r="R43" i="20" a="1"/>
  <c r="R43" i="20" s="1"/>
  <c r="R44" i="20" a="1"/>
  <c r="R44" i="20" s="1"/>
  <c r="R45" i="20" a="1"/>
  <c r="R45" i="20" s="1"/>
  <c r="R46" i="20" a="1"/>
  <c r="R46" i="20" s="1"/>
  <c r="R47" i="20" a="1"/>
  <c r="R47" i="20" s="1"/>
  <c r="R48" i="20" a="1"/>
  <c r="R48" i="20" s="1"/>
  <c r="R49" i="20" a="1"/>
  <c r="R49" i="20" s="1"/>
  <c r="R50" i="20" a="1"/>
  <c r="R50" i="20" s="1"/>
  <c r="R51" i="20" a="1"/>
  <c r="R51" i="20" s="1"/>
  <c r="R54" i="20" a="1"/>
  <c r="R54" i="20" s="1"/>
  <c r="R55" i="20" a="1"/>
  <c r="R55" i="20" s="1"/>
  <c r="R56" i="20" a="1"/>
  <c r="R56" i="20" s="1"/>
  <c r="R57" i="20" a="1"/>
  <c r="R57" i="20" s="1"/>
  <c r="R58" i="20" a="1"/>
  <c r="R58" i="20" s="1"/>
  <c r="R59" i="20" a="1"/>
  <c r="R59" i="20" s="1"/>
  <c r="R60" i="20" a="1"/>
  <c r="R60" i="20" s="1"/>
  <c r="R61" i="20" a="1"/>
  <c r="R61" i="20" s="1"/>
  <c r="R62" i="20" a="1"/>
  <c r="R62" i="20" s="1"/>
  <c r="R63" i="20" a="1"/>
  <c r="R63" i="20" s="1"/>
  <c r="R64" i="20" a="1"/>
  <c r="R64" i="20" s="1"/>
  <c r="R65" i="20" a="1"/>
  <c r="R65" i="20" s="1"/>
  <c r="R66" i="20" a="1"/>
  <c r="R66" i="20" s="1"/>
  <c r="R67" i="20" a="1"/>
  <c r="R67" i="20" s="1"/>
  <c r="R68" i="20" a="1"/>
  <c r="R68" i="20" s="1"/>
  <c r="R69" i="20" a="1"/>
  <c r="R69" i="20" s="1"/>
  <c r="R70" i="20" a="1"/>
  <c r="R70" i="20" s="1"/>
  <c r="R71" i="20" a="1"/>
  <c r="R71" i="20" s="1"/>
  <c r="R72" i="20" a="1"/>
  <c r="R72" i="20" s="1"/>
  <c r="R73" i="20" a="1"/>
  <c r="R73" i="20" s="1"/>
  <c r="R74" i="20" a="1"/>
  <c r="R74" i="20" s="1"/>
  <c r="R75" i="20" a="1"/>
  <c r="R75" i="20" s="1"/>
  <c r="R76" i="20" a="1"/>
  <c r="R76" i="20" s="1"/>
  <c r="R77" i="20" a="1"/>
  <c r="R77" i="20" s="1"/>
  <c r="C9" i="2" a="1"/>
  <c r="C9" i="2" s="1"/>
  <c r="B5" i="6" a="1"/>
  <c r="B5" i="6" s="1"/>
  <c r="A4" i="22"/>
  <c r="AQ116" i="6"/>
  <c r="AP116" i="6"/>
  <c r="AO116" i="6"/>
  <c r="AN116" i="6"/>
  <c r="AM116" i="6"/>
  <c r="AL116" i="6"/>
  <c r="AK116" i="6"/>
  <c r="AJ116" i="6"/>
  <c r="AI116" i="6"/>
  <c r="AH116" i="6"/>
  <c r="AG116" i="6"/>
  <c r="AF116" i="6"/>
  <c r="AE116" i="6"/>
  <c r="AQ115" i="6"/>
  <c r="AP115" i="6"/>
  <c r="AO115" i="6"/>
  <c r="AN115" i="6"/>
  <c r="AM115" i="6"/>
  <c r="AL115" i="6"/>
  <c r="AK115" i="6"/>
  <c r="AJ115" i="6"/>
  <c r="AI115" i="6"/>
  <c r="AH115" i="6"/>
  <c r="AG115" i="6"/>
  <c r="AF115" i="6"/>
  <c r="AE115" i="6"/>
  <c r="AQ110" i="6"/>
  <c r="AP110" i="6"/>
  <c r="AO110" i="6"/>
  <c r="AN110" i="6"/>
  <c r="AM110" i="6"/>
  <c r="AL110" i="6"/>
  <c r="AK110" i="6"/>
  <c r="AJ110" i="6"/>
  <c r="AI110" i="6"/>
  <c r="AH110" i="6"/>
  <c r="AG110" i="6"/>
  <c r="AF110" i="6"/>
  <c r="AE110" i="6"/>
  <c r="AQ109" i="6"/>
  <c r="AP109" i="6"/>
  <c r="AO109" i="6"/>
  <c r="AN109" i="6"/>
  <c r="AM109" i="6"/>
  <c r="AL109" i="6"/>
  <c r="AK109" i="6"/>
  <c r="AJ109" i="6"/>
  <c r="AI109" i="6"/>
  <c r="AH109" i="6"/>
  <c r="AG109" i="6"/>
  <c r="AF109" i="6"/>
  <c r="AE109" i="6"/>
  <c r="AQ105" i="6"/>
  <c r="AP105" i="6"/>
  <c r="AO105" i="6"/>
  <c r="AN105" i="6"/>
  <c r="AM105" i="6"/>
  <c r="AL105" i="6"/>
  <c r="AK105" i="6"/>
  <c r="AJ105" i="6"/>
  <c r="AI105" i="6"/>
  <c r="AH105" i="6"/>
  <c r="AG105" i="6"/>
  <c r="AF105" i="6"/>
  <c r="AE105" i="6"/>
  <c r="AQ104" i="6"/>
  <c r="AP104" i="6"/>
  <c r="AO104" i="6"/>
  <c r="AN104" i="6"/>
  <c r="AM104" i="6"/>
  <c r="AL104" i="6"/>
  <c r="AK104" i="6"/>
  <c r="AJ104" i="6"/>
  <c r="AI104" i="6"/>
  <c r="AH104" i="6"/>
  <c r="AG104" i="6"/>
  <c r="AF104" i="6"/>
  <c r="AE104" i="6"/>
  <c r="AQ95" i="6"/>
  <c r="AP95" i="6"/>
  <c r="AO95" i="6"/>
  <c r="AN95" i="6"/>
  <c r="AM95" i="6"/>
  <c r="AL95" i="6"/>
  <c r="AK95" i="6"/>
  <c r="AJ95" i="6"/>
  <c r="AI95" i="6"/>
  <c r="AH95" i="6"/>
  <c r="AG95" i="6"/>
  <c r="AF95" i="6"/>
  <c r="AE95" i="6"/>
  <c r="AQ94" i="6"/>
  <c r="AP94" i="6"/>
  <c r="AO94" i="6"/>
  <c r="AN94" i="6"/>
  <c r="AM94" i="6"/>
  <c r="AL94" i="6"/>
  <c r="AK94" i="6"/>
  <c r="AJ94" i="6"/>
  <c r="AI94" i="6"/>
  <c r="AH94" i="6"/>
  <c r="AG94" i="6"/>
  <c r="AF94" i="6"/>
  <c r="AE94" i="6"/>
  <c r="AQ86" i="6"/>
  <c r="AP86" i="6"/>
  <c r="AO86" i="6"/>
  <c r="AN86" i="6"/>
  <c r="AM86" i="6"/>
  <c r="AL86" i="6"/>
  <c r="AK86" i="6"/>
  <c r="AJ86" i="6"/>
  <c r="AI86" i="6"/>
  <c r="AH86" i="6"/>
  <c r="AG86" i="6"/>
  <c r="AF86" i="6"/>
  <c r="AE86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J112" i="6"/>
  <c r="AP98" i="6"/>
  <c r="V19" i="6" l="1"/>
  <c r="U24" i="6"/>
  <c r="T19" i="6"/>
  <c r="S19" i="6"/>
  <c r="V24" i="6"/>
  <c r="AI24" i="6" s="1"/>
  <c r="U19" i="6"/>
  <c r="AO66" i="6"/>
  <c r="T45" i="6"/>
  <c r="AG45" i="6" s="1"/>
  <c r="X24" i="6"/>
  <c r="AK24" i="6" s="1"/>
  <c r="X19" i="6"/>
  <c r="S45" i="6"/>
  <c r="W24" i="6"/>
  <c r="AJ24" i="6" s="1"/>
  <c r="W19" i="6"/>
  <c r="T64" i="6"/>
  <c r="AG64" i="6" s="1"/>
  <c r="AJ66" i="6"/>
  <c r="S15" i="6"/>
  <c r="AC111" i="6"/>
  <c r="AP111" i="6" s="1"/>
  <c r="AA64" i="6"/>
  <c r="AN64" i="6" s="1"/>
  <c r="AP112" i="6"/>
  <c r="T106" i="6"/>
  <c r="AG106" i="6" s="1"/>
  <c r="AD111" i="6"/>
  <c r="AQ111" i="6" s="1"/>
  <c r="AN65" i="6"/>
  <c r="Z38" i="6"/>
  <c r="AO65" i="6"/>
  <c r="AG107" i="6"/>
  <c r="AA111" i="6"/>
  <c r="AN111" i="6" s="1"/>
  <c r="AA27" i="6"/>
  <c r="AC106" i="6"/>
  <c r="AP106" i="6" s="1"/>
  <c r="S106" i="6"/>
  <c r="AF106" i="6" s="1"/>
  <c r="AD27" i="6"/>
  <c r="AC27" i="6"/>
  <c r="AD87" i="6"/>
  <c r="AD91" i="6" s="1"/>
  <c r="V106" i="6"/>
  <c r="AI106" i="6" s="1"/>
  <c r="AC87" i="6"/>
  <c r="AC91" i="6" s="1"/>
  <c r="U106" i="6"/>
  <c r="AH106" i="6" s="1"/>
  <c r="AB38" i="6"/>
  <c r="T111" i="6"/>
  <c r="AG111" i="6" s="1"/>
  <c r="AC64" i="6"/>
  <c r="AP64" i="6" s="1"/>
  <c r="AB111" i="6"/>
  <c r="AO111" i="6" s="1"/>
  <c r="W106" i="6"/>
  <c r="AJ106" i="6" s="1"/>
  <c r="AP66" i="6"/>
  <c r="V38" i="6"/>
  <c r="X111" i="6"/>
  <c r="AK111" i="6" s="1"/>
  <c r="U38" i="6"/>
  <c r="AA70" i="6"/>
  <c r="AN70" i="6" s="1"/>
  <c r="Z70" i="6"/>
  <c r="AM70" i="6" s="1"/>
  <c r="W102" i="6"/>
  <c r="AJ102" i="6" s="1"/>
  <c r="S87" i="6"/>
  <c r="S91" i="6"/>
  <c r="AG46" i="6"/>
  <c r="V27" i="6"/>
  <c r="T27" i="6"/>
  <c r="AG28" i="6"/>
  <c r="AC70" i="6"/>
  <c r="V111" i="6"/>
  <c r="AI111" i="6" s="1"/>
  <c r="AD45" i="6"/>
  <c r="AQ45" i="6" s="1"/>
  <c r="U111" i="6"/>
  <c r="AH111" i="6" s="1"/>
  <c r="U87" i="6"/>
  <c r="U91" i="6" s="1"/>
  <c r="Z64" i="6"/>
  <c r="AM64" i="6" s="1"/>
  <c r="AC54" i="6"/>
  <c r="Z45" i="6"/>
  <c r="AA19" i="6"/>
  <c r="AC102" i="6"/>
  <c r="AP102" i="6" s="1"/>
  <c r="AA102" i="6"/>
  <c r="AN102" i="6" s="1"/>
  <c r="AN98" i="6"/>
  <c r="AQ88" i="6"/>
  <c r="AF46" i="6"/>
  <c r="U27" i="6"/>
  <c r="AH28" i="6"/>
  <c r="AB27" i="6"/>
  <c r="S27" i="6"/>
  <c r="AF28" i="6"/>
  <c r="V54" i="6"/>
  <c r="AB70" i="6"/>
  <c r="Z27" i="6"/>
  <c r="U54" i="6"/>
  <c r="AD64" i="6"/>
  <c r="AQ64" i="6" s="1"/>
  <c r="AQ65" i="6"/>
  <c r="X87" i="6"/>
  <c r="W87" i="6"/>
  <c r="W91" i="6" s="1"/>
  <c r="V87" i="6"/>
  <c r="V91" i="6" s="1"/>
  <c r="AH39" i="6"/>
  <c r="W111" i="6"/>
  <c r="AJ111" i="6" s="1"/>
  <c r="T87" i="6"/>
  <c r="T91" i="6" s="1"/>
  <c r="AP107" i="6"/>
  <c r="AD102" i="6"/>
  <c r="AQ102" i="6" s="1"/>
  <c r="AD54" i="6"/>
  <c r="AB54" i="6"/>
  <c r="AB78" i="6" s="1"/>
  <c r="AH88" i="6"/>
  <c r="AG65" i="6"/>
  <c r="AI88" i="6"/>
  <c r="Z19" i="6"/>
  <c r="AD106" i="6"/>
  <c r="AQ106" i="6" s="1"/>
  <c r="AB102" i="6"/>
  <c r="AO102" i="6" s="1"/>
  <c r="AB106" i="6"/>
  <c r="AO106" i="6" s="1"/>
  <c r="T38" i="6"/>
  <c r="AC45" i="6"/>
  <c r="AP45" i="6" s="1"/>
  <c r="S54" i="6"/>
  <c r="Z106" i="6"/>
  <c r="AM106" i="6" s="1"/>
  <c r="AA87" i="6"/>
  <c r="AA91" i="6" s="1"/>
  <c r="X106" i="6"/>
  <c r="AK106" i="6" s="1"/>
  <c r="X7" i="6"/>
  <c r="W7" i="6"/>
  <c r="AP46" i="6"/>
  <c r="AD19" i="6"/>
  <c r="V64" i="6"/>
  <c r="AI64" i="6" s="1"/>
  <c r="X45" i="6"/>
  <c r="AK45" i="6" s="1"/>
  <c r="AC19" i="6"/>
  <c r="W70" i="6"/>
  <c r="U64" i="6"/>
  <c r="AH64" i="6" s="1"/>
  <c r="AB19" i="6"/>
  <c r="T7" i="6"/>
  <c r="V102" i="6"/>
  <c r="AI102" i="6" s="1"/>
  <c r="T54" i="6"/>
  <c r="AA106" i="6"/>
  <c r="AN106" i="6" s="1"/>
  <c r="Z54" i="6"/>
  <c r="S38" i="6"/>
  <c r="AB45" i="6"/>
  <c r="AO45" i="6" s="1"/>
  <c r="T102" i="6"/>
  <c r="AG102" i="6" s="1"/>
  <c r="Z87" i="6"/>
  <c r="Z91" i="6" s="1"/>
  <c r="AA45" i="6"/>
  <c r="AN45" i="6" s="1"/>
  <c r="S102" i="6"/>
  <c r="AF102" i="6" s="1"/>
  <c r="X91" i="6"/>
  <c r="T70" i="6"/>
  <c r="AG70" i="6" s="1"/>
  <c r="V7" i="6"/>
  <c r="AB24" i="6"/>
  <c r="AO24" i="6" s="1"/>
  <c r="S70" i="6"/>
  <c r="AF70" i="6" s="1"/>
  <c r="U7" i="6"/>
  <c r="AF55" i="6"/>
  <c r="AG39" i="6"/>
  <c r="AG55" i="6"/>
  <c r="AM107" i="6"/>
  <c r="Z24" i="6"/>
  <c r="U70" i="6"/>
  <c r="S64" i="6"/>
  <c r="AF64" i="6" s="1"/>
  <c r="U45" i="6"/>
  <c r="AH45" i="6" s="1"/>
  <c r="S24" i="6"/>
  <c r="AF24" i="6" s="1"/>
  <c r="S7" i="6"/>
  <c r="X70" i="6"/>
  <c r="V70" i="6"/>
  <c r="AI96" i="6"/>
  <c r="AJ96" i="6"/>
  <c r="V45" i="6"/>
  <c r="AI45" i="6" s="1"/>
  <c r="W54" i="6"/>
  <c r="AJ114" i="6"/>
  <c r="X15" i="6"/>
  <c r="T24" i="6"/>
  <c r="AG24" i="6" s="1"/>
  <c r="W38" i="6"/>
  <c r="AF16" i="6"/>
  <c r="AF71" i="6"/>
  <c r="AG71" i="6"/>
  <c r="U102" i="6"/>
  <c r="AH102" i="6" s="1"/>
  <c r="W15" i="6"/>
  <c r="V15" i="6"/>
  <c r="AF25" i="6"/>
  <c r="X102" i="6"/>
  <c r="AK102" i="6" s="1"/>
  <c r="AG112" i="6"/>
  <c r="AF50" i="6"/>
  <c r="AG50" i="6"/>
  <c r="AH74" i="6"/>
  <c r="U15" i="6"/>
  <c r="W27" i="6"/>
  <c r="X54" i="6"/>
  <c r="T15" i="6"/>
  <c r="X38" i="6"/>
  <c r="X27" i="6"/>
  <c r="W45" i="6"/>
  <c r="X64" i="6"/>
  <c r="AK64" i="6" s="1"/>
  <c r="AI50" i="6"/>
  <c r="AJ65" i="6"/>
  <c r="AJ74" i="6"/>
  <c r="AI28" i="6"/>
  <c r="AG96" i="6"/>
  <c r="S111" i="6"/>
  <c r="AF111" i="6" s="1"/>
  <c r="AK46" i="6"/>
  <c r="AH50" i="6"/>
  <c r="AJ77" i="6"/>
  <c r="AK77" i="6"/>
  <c r="AK107" i="6"/>
  <c r="AI39" i="6"/>
  <c r="AC38" i="6"/>
  <c r="AQ98" i="6"/>
  <c r="AB87" i="6"/>
  <c r="AB91" i="6" s="1"/>
  <c r="Z102" i="6"/>
  <c r="AM102" i="6" s="1"/>
  <c r="AN88" i="6"/>
  <c r="AA38" i="6"/>
  <c r="AA54" i="6"/>
  <c r="AD70" i="6"/>
  <c r="AD24" i="6"/>
  <c r="AQ24" i="6" s="1"/>
  <c r="AA24" i="6"/>
  <c r="AN24" i="6" s="1"/>
  <c r="AN77" i="6"/>
  <c r="AO39" i="6"/>
  <c r="AP77" i="6"/>
  <c r="AO55" i="6"/>
  <c r="AD38" i="6"/>
  <c r="AP55" i="6"/>
  <c r="AP71" i="6"/>
  <c r="AM88" i="6"/>
  <c r="AQ47" i="6"/>
  <c r="AC24" i="6"/>
  <c r="AP24" i="6" s="1"/>
  <c r="AM77" i="6"/>
  <c r="AM55" i="6"/>
  <c r="Z111" i="6"/>
  <c r="AM111" i="6" s="1"/>
  <c r="AQ59" i="6"/>
  <c r="AG20" i="6"/>
  <c r="AH20" i="6"/>
  <c r="AI20" i="6"/>
  <c r="AJ20" i="6"/>
  <c r="AK20" i="6"/>
  <c r="AF20" i="6"/>
  <c r="AO20" i="6"/>
  <c r="AQ20" i="6"/>
  <c r="AN20" i="6"/>
  <c r="AF73" i="6"/>
  <c r="AF69" i="6"/>
  <c r="AF43" i="6"/>
  <c r="AF8" i="6"/>
  <c r="AF12" i="6"/>
  <c r="Z7" i="6"/>
  <c r="Z15" i="6"/>
  <c r="AM50" i="6"/>
  <c r="AN85" i="6"/>
  <c r="AO85" i="6"/>
  <c r="AP85" i="6"/>
  <c r="AQ85" i="6"/>
  <c r="AF85" i="6"/>
  <c r="AG85" i="6"/>
  <c r="AH85" i="6"/>
  <c r="AI85" i="6"/>
  <c r="AJ85" i="6"/>
  <c r="AK85" i="6"/>
  <c r="AL85" i="6"/>
  <c r="AM85" i="6"/>
  <c r="AC15" i="6"/>
  <c r="Y111" i="6"/>
  <c r="AL111" i="6" s="1"/>
  <c r="AH24" i="6"/>
  <c r="AA15" i="6"/>
  <c r="R49" i="6"/>
  <c r="R57" i="6"/>
  <c r="AB15" i="6"/>
  <c r="R97" i="6"/>
  <c r="R100" i="6"/>
  <c r="R76" i="6"/>
  <c r="R67" i="6"/>
  <c r="Y7" i="6"/>
  <c r="R83" i="6"/>
  <c r="Y19" i="6"/>
  <c r="R60" i="6"/>
  <c r="R61" i="6"/>
  <c r="R62" i="6"/>
  <c r="R63" i="6"/>
  <c r="R66" i="6"/>
  <c r="R114" i="6"/>
  <c r="R113" i="6"/>
  <c r="Y106" i="6"/>
  <c r="AL106" i="6" s="1"/>
  <c r="R108" i="6"/>
  <c r="Y54" i="6"/>
  <c r="AA7" i="6"/>
  <c r="R74" i="6"/>
  <c r="AJ64" i="6"/>
  <c r="Y70" i="6"/>
  <c r="AL70" i="6" s="1"/>
  <c r="Y87" i="6"/>
  <c r="R68" i="6"/>
  <c r="R65" i="6"/>
  <c r="R81" i="6"/>
  <c r="R55" i="6"/>
  <c r="AO64" i="6"/>
  <c r="AD7" i="6"/>
  <c r="Y24" i="6"/>
  <c r="AL24" i="6" s="1"/>
  <c r="Y45" i="6"/>
  <c r="AL45" i="6" s="1"/>
  <c r="Y64" i="6"/>
  <c r="AL64" i="6" s="1"/>
  <c r="R90" i="6"/>
  <c r="R99" i="6"/>
  <c r="R58" i="6"/>
  <c r="R69" i="6"/>
  <c r="AF45" i="6"/>
  <c r="R77" i="6"/>
  <c r="R101" i="6"/>
  <c r="R117" i="6"/>
  <c r="R75" i="6"/>
  <c r="AC7" i="6"/>
  <c r="Y15" i="6"/>
  <c r="R82" i="6"/>
  <c r="R56" i="6"/>
  <c r="AD15" i="6"/>
  <c r="Y27" i="6"/>
  <c r="Y102" i="6"/>
  <c r="AL102" i="6" s="1"/>
  <c r="AB7" i="6"/>
  <c r="R59" i="6"/>
  <c r="R96" i="6"/>
  <c r="R72" i="6"/>
  <c r="R89" i="6"/>
  <c r="R73" i="6"/>
  <c r="R98" i="6"/>
  <c r="Y38" i="6"/>
  <c r="R112" i="6"/>
  <c r="R84" i="6"/>
  <c r="R50" i="6"/>
  <c r="AE50" i="6" s="1"/>
  <c r="R85" i="6"/>
  <c r="R71" i="6"/>
  <c r="R107" i="6"/>
  <c r="R88" i="6"/>
  <c r="S51" i="6" l="1"/>
  <c r="W78" i="6"/>
  <c r="Z51" i="6"/>
  <c r="AC78" i="6"/>
  <c r="T51" i="6"/>
  <c r="S78" i="6"/>
  <c r="S79" i="6" s="1"/>
  <c r="S92" i="6" s="1"/>
  <c r="S93" i="6" s="1"/>
  <c r="S103" i="6" s="1"/>
  <c r="U51" i="6"/>
  <c r="AC51" i="6"/>
  <c r="AC79" i="6" s="1"/>
  <c r="AC92" i="6" s="1"/>
  <c r="AC93" i="6" s="1"/>
  <c r="AC103" i="6" s="1"/>
  <c r="V78" i="6"/>
  <c r="U78" i="6"/>
  <c r="AD78" i="6"/>
  <c r="AQ78" i="6" s="1"/>
  <c r="X51" i="6"/>
  <c r="U79" i="6"/>
  <c r="U92" i="6" s="1"/>
  <c r="U93" i="6" s="1"/>
  <c r="U103" i="6" s="1"/>
  <c r="T78" i="6"/>
  <c r="T79" i="6" s="1"/>
  <c r="T92" i="6" s="1"/>
  <c r="T93" i="6" s="1"/>
  <c r="T103" i="6" s="1"/>
  <c r="AH70" i="6"/>
  <c r="X78" i="6"/>
  <c r="Z78" i="6"/>
  <c r="Z79" i="6" s="1"/>
  <c r="Z92" i="6" s="1"/>
  <c r="Z93" i="6" s="1"/>
  <c r="Z103" i="6" s="1"/>
  <c r="AB51" i="6"/>
  <c r="AB79" i="6" s="1"/>
  <c r="AB92" i="6" s="1"/>
  <c r="AB93" i="6" s="1"/>
  <c r="AB103" i="6" s="1"/>
  <c r="AA78" i="6"/>
  <c r="AA51" i="6"/>
  <c r="W51" i="6"/>
  <c r="W79" i="6" s="1"/>
  <c r="W92" i="6" s="1"/>
  <c r="W93" i="6" s="1"/>
  <c r="W103" i="6" s="1"/>
  <c r="X79" i="6"/>
  <c r="X92" i="6" s="1"/>
  <c r="X93" i="6" s="1"/>
  <c r="X103" i="6" s="1"/>
  <c r="AJ45" i="6"/>
  <c r="V51" i="6"/>
  <c r="AD51" i="6"/>
  <c r="R15" i="6"/>
  <c r="AK70" i="6"/>
  <c r="AP70" i="6"/>
  <c r="Y78" i="6"/>
  <c r="AI70" i="6"/>
  <c r="AI78" i="6"/>
  <c r="AO70" i="6"/>
  <c r="AQ70" i="6"/>
  <c r="AJ70" i="6"/>
  <c r="AM49" i="6"/>
  <c r="Y91" i="6"/>
  <c r="AL78" i="6"/>
  <c r="AK78" i="6"/>
  <c r="AJ78" i="6"/>
  <c r="AP78" i="6"/>
  <c r="AG78" i="6"/>
  <c r="R106" i="6"/>
  <c r="AM78" i="6"/>
  <c r="R102" i="6"/>
  <c r="R64" i="6"/>
  <c r="R87" i="6"/>
  <c r="R70" i="6"/>
  <c r="Y51" i="6"/>
  <c r="R111" i="6"/>
  <c r="R54" i="6"/>
  <c r="V79" i="6" l="1"/>
  <c r="V92" i="6" s="1"/>
  <c r="V93" i="6" s="1"/>
  <c r="V103" i="6" s="1"/>
  <c r="AF78" i="6"/>
  <c r="AD79" i="6"/>
  <c r="AD92" i="6" s="1"/>
  <c r="AD93" i="6" s="1"/>
  <c r="AD103" i="6" s="1"/>
  <c r="AA79" i="6"/>
  <c r="AA92" i="6" s="1"/>
  <c r="AA93" i="6" s="1"/>
  <c r="AA103" i="6" s="1"/>
  <c r="AM48" i="6"/>
  <c r="R48" i="6"/>
  <c r="AO78" i="6"/>
  <c r="R91" i="6"/>
  <c r="AN78" i="6"/>
  <c r="AH78" i="6"/>
  <c r="Y79" i="6"/>
  <c r="R78" i="6"/>
  <c r="AM47" i="6" l="1"/>
  <c r="R47" i="6"/>
  <c r="AG79" i="6"/>
  <c r="AO79" i="6"/>
  <c r="AI79" i="6"/>
  <c r="AF92" i="6"/>
  <c r="AF79" i="6"/>
  <c r="AP79" i="6"/>
  <c r="AQ79" i="6"/>
  <c r="AH79" i="6"/>
  <c r="AN79" i="6"/>
  <c r="AJ79" i="6"/>
  <c r="AK79" i="6"/>
  <c r="Y92" i="6"/>
  <c r="AL79" i="6"/>
  <c r="AM46" i="6" l="1"/>
  <c r="R46" i="6"/>
  <c r="AN92" i="6"/>
  <c r="AG92" i="6"/>
  <c r="AH92" i="6"/>
  <c r="AQ92" i="6"/>
  <c r="AP92" i="6"/>
  <c r="AK92" i="6"/>
  <c r="AI92" i="6"/>
  <c r="AJ92" i="6"/>
  <c r="AO92" i="6"/>
  <c r="Y93" i="6"/>
  <c r="AL92" i="6"/>
  <c r="AM45" i="6" l="1"/>
  <c r="R45" i="6"/>
  <c r="Y103" i="6"/>
  <c r="G5" i="22"/>
  <c r="H5" i="22"/>
  <c r="I5" i="22"/>
  <c r="J5" i="22"/>
  <c r="K5" i="22"/>
  <c r="L5" i="22"/>
  <c r="M5" i="22"/>
  <c r="N5" i="22"/>
  <c r="O5" i="22"/>
  <c r="P5" i="22"/>
  <c r="Q5" i="22"/>
  <c r="F5" i="22"/>
  <c r="Q7" i="6"/>
  <c r="AQ7" i="6" s="1"/>
  <c r="P7" i="6"/>
  <c r="AP7" i="6" s="1"/>
  <c r="O7" i="6"/>
  <c r="AO7" i="6" s="1"/>
  <c r="N7" i="6"/>
  <c r="AN7" i="6" s="1"/>
  <c r="M7" i="6"/>
  <c r="L7" i="6"/>
  <c r="AL7" i="6" s="1"/>
  <c r="K7" i="6"/>
  <c r="AK7" i="6" s="1"/>
  <c r="J7" i="6"/>
  <c r="AJ7" i="6" s="1"/>
  <c r="I7" i="6"/>
  <c r="AI7" i="6" s="1"/>
  <c r="H7" i="6"/>
  <c r="AH7" i="6" s="1"/>
  <c r="G7" i="6"/>
  <c r="AG7" i="6" s="1"/>
  <c r="F7" i="6"/>
  <c r="AF7" i="6" s="1"/>
  <c r="Q87" i="6"/>
  <c r="P87" i="6"/>
  <c r="O87" i="6"/>
  <c r="N87" i="6"/>
  <c r="M87" i="6"/>
  <c r="L87" i="6"/>
  <c r="K87" i="6"/>
  <c r="J87" i="6"/>
  <c r="I87" i="6"/>
  <c r="H87" i="6"/>
  <c r="G87" i="6"/>
  <c r="F87" i="6"/>
  <c r="Q84" i="6"/>
  <c r="AQ84" i="6" s="1"/>
  <c r="P84" i="6"/>
  <c r="AP84" i="6" s="1"/>
  <c r="O84" i="6"/>
  <c r="AO84" i="6" s="1"/>
  <c r="N84" i="6"/>
  <c r="AN84" i="6" s="1"/>
  <c r="M84" i="6"/>
  <c r="AM84" i="6" s="1"/>
  <c r="L84" i="6"/>
  <c r="AL84" i="6" s="1"/>
  <c r="K84" i="6"/>
  <c r="AK84" i="6" s="1"/>
  <c r="J84" i="6"/>
  <c r="AJ84" i="6" s="1"/>
  <c r="I84" i="6"/>
  <c r="AI84" i="6" s="1"/>
  <c r="H84" i="6"/>
  <c r="AH84" i="6" s="1"/>
  <c r="G84" i="6"/>
  <c r="AG84" i="6" s="1"/>
  <c r="F84" i="6"/>
  <c r="AF84" i="6" s="1"/>
  <c r="Q54" i="6"/>
  <c r="AQ54" i="6" s="1"/>
  <c r="P54" i="6"/>
  <c r="AP54" i="6" s="1"/>
  <c r="O54" i="6"/>
  <c r="AO54" i="6" s="1"/>
  <c r="N54" i="6"/>
  <c r="AN54" i="6" s="1"/>
  <c r="M54" i="6"/>
  <c r="AM54" i="6" s="1"/>
  <c r="L54" i="6"/>
  <c r="AL54" i="6" s="1"/>
  <c r="K54" i="6"/>
  <c r="AK54" i="6" s="1"/>
  <c r="J54" i="6"/>
  <c r="AJ54" i="6" s="1"/>
  <c r="I54" i="6"/>
  <c r="AI54" i="6" s="1"/>
  <c r="H54" i="6"/>
  <c r="AH54" i="6" s="1"/>
  <c r="G54" i="6"/>
  <c r="AG54" i="6" s="1"/>
  <c r="F54" i="6"/>
  <c r="AF54" i="6" s="1"/>
  <c r="Q38" i="6"/>
  <c r="P38" i="6"/>
  <c r="O38" i="6"/>
  <c r="N38" i="6"/>
  <c r="M38" i="6"/>
  <c r="L38" i="6"/>
  <c r="K38" i="6"/>
  <c r="J38" i="6"/>
  <c r="I38" i="6"/>
  <c r="H38" i="6"/>
  <c r="G38" i="6"/>
  <c r="F38" i="6"/>
  <c r="Q27" i="6"/>
  <c r="AQ27" i="6" s="1"/>
  <c r="P27" i="6"/>
  <c r="AP27" i="6" s="1"/>
  <c r="O27" i="6"/>
  <c r="AO27" i="6" s="1"/>
  <c r="N27" i="6"/>
  <c r="AN27" i="6" s="1"/>
  <c r="M27" i="6"/>
  <c r="L27" i="6"/>
  <c r="AL27" i="6" s="1"/>
  <c r="K27" i="6"/>
  <c r="AK27" i="6" s="1"/>
  <c r="J27" i="6"/>
  <c r="AJ27" i="6" s="1"/>
  <c r="I27" i="6"/>
  <c r="AI27" i="6" s="1"/>
  <c r="H27" i="6"/>
  <c r="AH27" i="6" s="1"/>
  <c r="G27" i="6"/>
  <c r="AG27" i="6" s="1"/>
  <c r="F27" i="6"/>
  <c r="AF27" i="6" s="1"/>
  <c r="Q19" i="6"/>
  <c r="AQ19" i="6" s="1"/>
  <c r="P19" i="6"/>
  <c r="AP19" i="6" s="1"/>
  <c r="O19" i="6"/>
  <c r="AO19" i="6" s="1"/>
  <c r="N19" i="6"/>
  <c r="AN19" i="6" s="1"/>
  <c r="M19" i="6"/>
  <c r="L19" i="6"/>
  <c r="AL19" i="6" s="1"/>
  <c r="K19" i="6"/>
  <c r="AK19" i="6" s="1"/>
  <c r="J19" i="6"/>
  <c r="AJ19" i="6" s="1"/>
  <c r="I19" i="6"/>
  <c r="AI19" i="6" s="1"/>
  <c r="H19" i="6"/>
  <c r="AH19" i="6" s="1"/>
  <c r="G19" i="6"/>
  <c r="AG19" i="6" s="1"/>
  <c r="AF19" i="6"/>
  <c r="Q15" i="6"/>
  <c r="AQ15" i="6" s="1"/>
  <c r="P15" i="6"/>
  <c r="AP15" i="6" s="1"/>
  <c r="O15" i="6"/>
  <c r="AO15" i="6" s="1"/>
  <c r="N15" i="6"/>
  <c r="AN15" i="6" s="1"/>
  <c r="M15" i="6"/>
  <c r="L15" i="6"/>
  <c r="AL15" i="6" s="1"/>
  <c r="K15" i="6"/>
  <c r="AK15" i="6" s="1"/>
  <c r="J15" i="6"/>
  <c r="AJ15" i="6" s="1"/>
  <c r="I15" i="6"/>
  <c r="AI15" i="6" s="1"/>
  <c r="H15" i="6"/>
  <c r="AH15" i="6" s="1"/>
  <c r="G15" i="6"/>
  <c r="AG15" i="6" s="1"/>
  <c r="F15" i="6"/>
  <c r="AF15" i="6" s="1"/>
  <c r="E86" i="20"/>
  <c r="E38" i="20"/>
  <c r="E27" i="20"/>
  <c r="E19" i="20"/>
  <c r="E15" i="20"/>
  <c r="E7" i="20"/>
  <c r="E117" i="20"/>
  <c r="E113" i="20"/>
  <c r="E114" i="20"/>
  <c r="E112" i="20"/>
  <c r="E111" i="20"/>
  <c r="E108" i="20"/>
  <c r="E107" i="20"/>
  <c r="E106" i="20"/>
  <c r="E103" i="20"/>
  <c r="E102" i="20"/>
  <c r="E93" i="20"/>
  <c r="E92" i="20"/>
  <c r="E91" i="20"/>
  <c r="E87" i="20"/>
  <c r="E83" i="20"/>
  <c r="E84" i="20"/>
  <c r="E79" i="20"/>
  <c r="E78" i="20"/>
  <c r="E77" i="20"/>
  <c r="E70" i="20"/>
  <c r="E69" i="20"/>
  <c r="E68" i="20"/>
  <c r="E64" i="20"/>
  <c r="E54" i="20"/>
  <c r="E51" i="20"/>
  <c r="E50" i="20"/>
  <c r="E49" i="20"/>
  <c r="E44" i="20"/>
  <c r="E45" i="20"/>
  <c r="E43" i="20"/>
  <c r="E24" i="20"/>
  <c r="E23" i="20"/>
  <c r="E97" i="20"/>
  <c r="E98" i="20"/>
  <c r="E99" i="20"/>
  <c r="E100" i="20"/>
  <c r="E101" i="20"/>
  <c r="E96" i="20"/>
  <c r="E90" i="20"/>
  <c r="E89" i="20"/>
  <c r="E88" i="20"/>
  <c r="E85" i="20"/>
  <c r="E82" i="20"/>
  <c r="E81" i="20"/>
  <c r="E72" i="20"/>
  <c r="E73" i="20"/>
  <c r="E74" i="20"/>
  <c r="E75" i="20"/>
  <c r="E76" i="20"/>
  <c r="E71" i="20"/>
  <c r="E66" i="20"/>
  <c r="E67" i="20"/>
  <c r="E65" i="20"/>
  <c r="E56" i="20"/>
  <c r="E57" i="20"/>
  <c r="E58" i="20"/>
  <c r="E59" i="20"/>
  <c r="E60" i="20"/>
  <c r="E61" i="20"/>
  <c r="E62" i="20"/>
  <c r="E63" i="20"/>
  <c r="E55" i="20"/>
  <c r="E47" i="20"/>
  <c r="E48" i="20"/>
  <c r="E46" i="20"/>
  <c r="E40" i="20"/>
  <c r="E41" i="20"/>
  <c r="E42" i="20"/>
  <c r="E39" i="20"/>
  <c r="E29" i="20"/>
  <c r="E30" i="20"/>
  <c r="E31" i="20"/>
  <c r="E32" i="20"/>
  <c r="E33" i="20"/>
  <c r="E34" i="20"/>
  <c r="E35" i="20"/>
  <c r="E36" i="20"/>
  <c r="E37" i="20"/>
  <c r="E28" i="20"/>
  <c r="E26" i="20"/>
  <c r="E25" i="20"/>
  <c r="E21" i="20"/>
  <c r="E22" i="20"/>
  <c r="E20" i="20"/>
  <c r="E17" i="20"/>
  <c r="E18" i="20"/>
  <c r="E16" i="20"/>
  <c r="E9" i="20"/>
  <c r="E10" i="20"/>
  <c r="E11" i="20"/>
  <c r="E12" i="20"/>
  <c r="E13" i="20"/>
  <c r="E14" i="20"/>
  <c r="E8" i="20"/>
  <c r="E81" i="6"/>
  <c r="AE81" i="6" s="1"/>
  <c r="E82" i="6"/>
  <c r="AE82" i="6" s="1"/>
  <c r="E117" i="6"/>
  <c r="AE117" i="6" s="1"/>
  <c r="E114" i="6"/>
  <c r="AE114" i="6" s="1"/>
  <c r="E113" i="6"/>
  <c r="AE113" i="6" s="1"/>
  <c r="E112" i="6"/>
  <c r="AE112" i="6" s="1"/>
  <c r="E111" i="6"/>
  <c r="AE111" i="6" s="1"/>
  <c r="E108" i="6"/>
  <c r="AE108" i="6" s="1"/>
  <c r="E107" i="6"/>
  <c r="AE107" i="6" s="1"/>
  <c r="E106" i="6"/>
  <c r="AE106" i="6" s="1"/>
  <c r="E102" i="6"/>
  <c r="AE102" i="6" s="1"/>
  <c r="E101" i="6"/>
  <c r="AE101" i="6" s="1"/>
  <c r="E100" i="6"/>
  <c r="AE100" i="6" s="1"/>
  <c r="E99" i="6"/>
  <c r="AE99" i="6" s="1"/>
  <c r="E98" i="6"/>
  <c r="AE98" i="6" s="1"/>
  <c r="E97" i="6"/>
  <c r="AE97" i="6" s="1"/>
  <c r="E96" i="6"/>
  <c r="AE96" i="6" s="1"/>
  <c r="E92" i="6"/>
  <c r="E90" i="6"/>
  <c r="AE90" i="6" s="1"/>
  <c r="E89" i="6"/>
  <c r="AE89" i="6" s="1"/>
  <c r="E88" i="6"/>
  <c r="AE88" i="6" s="1"/>
  <c r="E85" i="6"/>
  <c r="AE85" i="6" s="1"/>
  <c r="E83" i="6"/>
  <c r="AE83" i="6" s="1"/>
  <c r="E79" i="6"/>
  <c r="E78" i="6"/>
  <c r="AE78" i="6" s="1"/>
  <c r="E77" i="6"/>
  <c r="AE77" i="6" s="1"/>
  <c r="E76" i="6"/>
  <c r="AE76" i="6" s="1"/>
  <c r="E75" i="6"/>
  <c r="AE75" i="6" s="1"/>
  <c r="E74" i="6"/>
  <c r="AE74" i="6" s="1"/>
  <c r="E73" i="6"/>
  <c r="AE73" i="6" s="1"/>
  <c r="E72" i="6"/>
  <c r="AE72" i="6" s="1"/>
  <c r="E71" i="6"/>
  <c r="AE71" i="6" s="1"/>
  <c r="E70" i="6"/>
  <c r="AE70" i="6" s="1"/>
  <c r="E69" i="6"/>
  <c r="AE69" i="6" s="1"/>
  <c r="E68" i="6"/>
  <c r="AE68" i="6" s="1"/>
  <c r="E67" i="6"/>
  <c r="AE67" i="6" s="1"/>
  <c r="E66" i="6"/>
  <c r="AE66" i="6" s="1"/>
  <c r="E65" i="6"/>
  <c r="AE65" i="6" s="1"/>
  <c r="E64" i="6"/>
  <c r="AE64" i="6" s="1"/>
  <c r="E63" i="6"/>
  <c r="AE63" i="6" s="1"/>
  <c r="E62" i="6"/>
  <c r="AE62" i="6" s="1"/>
  <c r="E61" i="6"/>
  <c r="AE61" i="6" s="1"/>
  <c r="E60" i="6"/>
  <c r="AE60" i="6" s="1"/>
  <c r="E59" i="6"/>
  <c r="AE59" i="6" s="1"/>
  <c r="E58" i="6"/>
  <c r="AE58" i="6" s="1"/>
  <c r="E57" i="6"/>
  <c r="AE57" i="6" s="1"/>
  <c r="E56" i="6"/>
  <c r="AE56" i="6" s="1"/>
  <c r="E55" i="6"/>
  <c r="AE55" i="6" s="1"/>
  <c r="E49" i="6"/>
  <c r="AE49" i="6" s="1"/>
  <c r="E48" i="6"/>
  <c r="AE48" i="6" s="1"/>
  <c r="E47" i="6"/>
  <c r="AE47" i="6" s="1"/>
  <c r="E46" i="6"/>
  <c r="AE46" i="6" s="1"/>
  <c r="E45" i="6"/>
  <c r="E44" i="6"/>
  <c r="E43" i="6"/>
  <c r="E42" i="6"/>
  <c r="E41" i="6"/>
  <c r="E40" i="6"/>
  <c r="E39" i="6"/>
  <c r="E37" i="6"/>
  <c r="E36" i="6"/>
  <c r="E35" i="6"/>
  <c r="E34" i="6"/>
  <c r="E33" i="6"/>
  <c r="E32" i="6"/>
  <c r="E31" i="6"/>
  <c r="E30" i="6"/>
  <c r="E29" i="6"/>
  <c r="E28" i="6"/>
  <c r="E26" i="6"/>
  <c r="E25" i="6"/>
  <c r="E24" i="6"/>
  <c r="E23" i="6"/>
  <c r="E22" i="6"/>
  <c r="E21" i="6"/>
  <c r="E20" i="6"/>
  <c r="E18" i="6"/>
  <c r="E17" i="6"/>
  <c r="E16" i="6"/>
  <c r="E14" i="6"/>
  <c r="E13" i="6"/>
  <c r="E12" i="6"/>
  <c r="E11" i="6"/>
  <c r="E10" i="6"/>
  <c r="E9" i="6"/>
  <c r="E8" i="6"/>
  <c r="AG38" i="6" l="1"/>
  <c r="G51" i="6"/>
  <c r="AG51" i="6" s="1"/>
  <c r="AH38" i="6"/>
  <c r="H51" i="6"/>
  <c r="AH51" i="6" s="1"/>
  <c r="AI38" i="6"/>
  <c r="I51" i="6"/>
  <c r="AI51" i="6" s="1"/>
  <c r="AJ38" i="6"/>
  <c r="J51" i="6"/>
  <c r="AJ51" i="6" s="1"/>
  <c r="AF87" i="6"/>
  <c r="F91" i="6"/>
  <c r="AF38" i="6"/>
  <c r="F51" i="6"/>
  <c r="AK38" i="6"/>
  <c r="K51" i="6"/>
  <c r="AK51" i="6" s="1"/>
  <c r="AG87" i="6"/>
  <c r="G91" i="6"/>
  <c r="AL38" i="6"/>
  <c r="L51" i="6"/>
  <c r="AL51" i="6" s="1"/>
  <c r="AH87" i="6"/>
  <c r="H91" i="6"/>
  <c r="M51" i="6"/>
  <c r="AI87" i="6"/>
  <c r="I91" i="6"/>
  <c r="AJ87" i="6"/>
  <c r="J91" i="6"/>
  <c r="AN38" i="6"/>
  <c r="N51" i="6"/>
  <c r="AN51" i="6" s="1"/>
  <c r="AK87" i="6"/>
  <c r="K91" i="6"/>
  <c r="AP38" i="6"/>
  <c r="P51" i="6"/>
  <c r="AP51" i="6" s="1"/>
  <c r="AO87" i="6"/>
  <c r="O91" i="6"/>
  <c r="AL87" i="6"/>
  <c r="L91" i="6"/>
  <c r="AM87" i="6"/>
  <c r="M91" i="6"/>
  <c r="AN87" i="6"/>
  <c r="N91" i="6"/>
  <c r="AP87" i="6"/>
  <c r="P91" i="6"/>
  <c r="AO38" i="6"/>
  <c r="O51" i="6"/>
  <c r="AO51" i="6" s="1"/>
  <c r="AQ38" i="6"/>
  <c r="Q51" i="6"/>
  <c r="AQ51" i="6" s="1"/>
  <c r="AQ87" i="6"/>
  <c r="Q91" i="6"/>
  <c r="AE45" i="6"/>
  <c r="AM44" i="6"/>
  <c r="R44" i="6"/>
  <c r="AE44" i="6" s="1"/>
  <c r="E19" i="6"/>
  <c r="E87" i="6"/>
  <c r="AE87" i="6" s="1"/>
  <c r="E38" i="6"/>
  <c r="E15" i="6"/>
  <c r="E84" i="6"/>
  <c r="AE84" i="6" s="1"/>
  <c r="E7" i="6"/>
  <c r="E54" i="6"/>
  <c r="AE54" i="6" s="1"/>
  <c r="E27" i="6"/>
  <c r="N93" i="6" l="1"/>
  <c r="AN91" i="6"/>
  <c r="M93" i="6"/>
  <c r="M103" i="6" s="1"/>
  <c r="AM91" i="6"/>
  <c r="AF51" i="6"/>
  <c r="E51" i="6"/>
  <c r="J93" i="6"/>
  <c r="AJ91" i="6"/>
  <c r="L93" i="6"/>
  <c r="AL91" i="6"/>
  <c r="F93" i="6"/>
  <c r="AF91" i="6"/>
  <c r="E91" i="6"/>
  <c r="AE91" i="6" s="1"/>
  <c r="I93" i="6"/>
  <c r="AI91" i="6"/>
  <c r="Q93" i="6"/>
  <c r="AQ91" i="6"/>
  <c r="O93" i="6"/>
  <c r="AO91" i="6"/>
  <c r="H93" i="6"/>
  <c r="AH91" i="6"/>
  <c r="K93" i="6"/>
  <c r="AK91" i="6"/>
  <c r="P93" i="6"/>
  <c r="AP91" i="6"/>
  <c r="G93" i="6"/>
  <c r="AG91" i="6"/>
  <c r="AM43" i="6"/>
  <c r="R43" i="6"/>
  <c r="AE43" i="6" s="1"/>
  <c r="Q103" i="6" l="1"/>
  <c r="AQ103" i="6" s="1"/>
  <c r="AQ93" i="6"/>
  <c r="I103" i="6"/>
  <c r="AI103" i="6" s="1"/>
  <c r="AI93" i="6"/>
  <c r="G103" i="6"/>
  <c r="AG103" i="6" s="1"/>
  <c r="AG93" i="6"/>
  <c r="P103" i="6"/>
  <c r="AP103" i="6" s="1"/>
  <c r="AP93" i="6"/>
  <c r="N103" i="6"/>
  <c r="AN103" i="6" s="1"/>
  <c r="AN93" i="6"/>
  <c r="F103" i="6"/>
  <c r="AF93" i="6"/>
  <c r="E93" i="6"/>
  <c r="L103" i="6"/>
  <c r="AL103" i="6" s="1"/>
  <c r="AL93" i="6"/>
  <c r="J103" i="6"/>
  <c r="AJ103" i="6" s="1"/>
  <c r="AJ93" i="6"/>
  <c r="K103" i="6"/>
  <c r="AK103" i="6" s="1"/>
  <c r="AK93" i="6"/>
  <c r="H103" i="6"/>
  <c r="AH103" i="6" s="1"/>
  <c r="AH93" i="6"/>
  <c r="O103" i="6"/>
  <c r="AO103" i="6" s="1"/>
  <c r="AO93" i="6"/>
  <c r="AM42" i="6"/>
  <c r="R42" i="6"/>
  <c r="AE42" i="6" s="1"/>
  <c r="E103" i="6" l="1"/>
  <c r="AF103" i="6"/>
  <c r="AM41" i="6"/>
  <c r="R41" i="6"/>
  <c r="AE41" i="6" s="1"/>
  <c r="AM40" i="6" l="1"/>
  <c r="R40" i="6"/>
  <c r="AE40" i="6" s="1"/>
  <c r="AM39" i="6" l="1"/>
  <c r="R39" i="6"/>
  <c r="AE39" i="6" s="1"/>
  <c r="AM38" i="6" l="1"/>
  <c r="R38" i="6"/>
  <c r="AE38" i="6" s="1"/>
  <c r="AM37" i="6" l="1"/>
  <c r="R37" i="6"/>
  <c r="AE37" i="6" s="1"/>
  <c r="AM36" i="6" l="1"/>
  <c r="R36" i="6"/>
  <c r="AE36" i="6" s="1"/>
  <c r="AM35" i="6" l="1"/>
  <c r="R35" i="6"/>
  <c r="AE35" i="6" s="1"/>
  <c r="AM34" i="6" l="1"/>
  <c r="R34" i="6"/>
  <c r="AE34" i="6" s="1"/>
  <c r="AM33" i="6" l="1"/>
  <c r="R33" i="6"/>
  <c r="AE33" i="6" s="1"/>
  <c r="AM32" i="6" l="1"/>
  <c r="R32" i="6"/>
  <c r="AE32" i="6" s="1"/>
  <c r="AM31" i="6" l="1"/>
  <c r="R31" i="6"/>
  <c r="AE31" i="6" s="1"/>
  <c r="AM30" i="6" l="1"/>
  <c r="R30" i="6"/>
  <c r="AE30" i="6" s="1"/>
  <c r="AM29" i="6" l="1"/>
  <c r="R29" i="6"/>
  <c r="AE29" i="6" s="1"/>
  <c r="AM28" i="6" l="1"/>
  <c r="R28" i="6"/>
  <c r="AE28" i="6" s="1"/>
  <c r="AM27" i="6" l="1"/>
  <c r="R27" i="6"/>
  <c r="AE27" i="6" s="1"/>
  <c r="AM26" i="6" l="1"/>
  <c r="R26" i="6"/>
  <c r="AE26" i="6" s="1"/>
  <c r="AM25" i="6" l="1"/>
  <c r="R25" i="6"/>
  <c r="AE25" i="6" s="1"/>
  <c r="AM24" i="6" l="1"/>
  <c r="R24" i="6"/>
  <c r="AE24" i="6" s="1"/>
  <c r="AM23" i="6" l="1"/>
  <c r="R23" i="6"/>
  <c r="AE23" i="6" s="1"/>
  <c r="AM22" i="6" l="1"/>
  <c r="R22" i="6"/>
  <c r="AE22" i="6" s="1"/>
  <c r="AM21" i="6" l="1"/>
  <c r="R21" i="6"/>
  <c r="AE21" i="6" s="1"/>
  <c r="R20" i="6" l="1"/>
  <c r="AE20" i="6" s="1"/>
  <c r="AM20" i="6"/>
  <c r="AM19" i="6" l="1"/>
  <c r="R19" i="6"/>
  <c r="AE19" i="6" s="1"/>
  <c r="AM18" i="6" l="1"/>
  <c r="R18" i="6"/>
  <c r="AE18" i="6" s="1"/>
  <c r="AM17" i="6" l="1"/>
  <c r="R17" i="6"/>
  <c r="AE17" i="6" s="1"/>
  <c r="R16" i="6" l="1"/>
  <c r="AE16" i="6" s="1"/>
  <c r="AM16" i="6"/>
  <c r="AM15" i="6" l="1"/>
  <c r="AE15" i="6"/>
  <c r="AM14" i="6" l="1"/>
  <c r="R14" i="6"/>
  <c r="AE14" i="6" s="1"/>
  <c r="AM13" i="6" l="1"/>
  <c r="R13" i="6"/>
  <c r="AE13" i="6" s="1"/>
  <c r="AM12" i="6" l="1"/>
  <c r="R12" i="6"/>
  <c r="AE12" i="6" s="1"/>
  <c r="AM11" i="6" l="1"/>
  <c r="R11" i="6"/>
  <c r="AE11" i="6" s="1"/>
  <c r="AM10" i="6" l="1"/>
  <c r="R10" i="6"/>
  <c r="AE10" i="6" s="1"/>
  <c r="AM9" i="6" l="1"/>
  <c r="R9" i="6"/>
  <c r="AE9" i="6" s="1"/>
  <c r="AM8" i="6" l="1"/>
  <c r="R8" i="6"/>
  <c r="AE8" i="6" s="1"/>
  <c r="AM51" i="6" l="1"/>
  <c r="R51" i="6"/>
  <c r="AE51" i="6" s="1"/>
  <c r="AM7" i="6"/>
  <c r="R7" i="6"/>
  <c r="AE7" i="6" s="1"/>
  <c r="AM79" i="6" l="1"/>
  <c r="R79" i="6"/>
  <c r="AE79" i="6" s="1"/>
  <c r="R92" i="6" l="1"/>
  <c r="AE92" i="6" s="1"/>
  <c r="AM92" i="6"/>
  <c r="AM93" i="6" l="1"/>
  <c r="R93" i="6"/>
  <c r="AE93" i="6" s="1"/>
  <c r="AM103" i="6" l="1"/>
  <c r="R103" i="6"/>
  <c r="AE10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87D471-AAC8-4B45-84B2-386E80DD67F7}" keepAlive="1" name="ThisWorkbookDataModel" description="Datový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A8A7DE0-7F8D-4BBF-AA47-FB57CB6EA68C}" interval="5" name="WorksheetConnection_Rozpočet.xlsm!Rozpočet" type="102" refreshedVersion="8" minRefreshableVersion="5" saveData="1">
    <extLst>
      <ext xmlns:x15="http://schemas.microsoft.com/office/spreadsheetml/2010/11/main" uri="{DE250136-89BD-433C-8126-D09CA5730AF9}">
        <x15:connection id="Rozpočet">
          <x15:rangePr sourceName="_xlcn.WorksheetConnection_Rozpočet.xlsmRozpoče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<sst xmlns="http://schemas.openxmlformats.org/spreadsheetml/2006/main" count="10995" uniqueCount="574">
  <si>
    <t>Server</t>
  </si>
  <si>
    <t>Database</t>
  </si>
  <si>
    <t>Login</t>
  </si>
  <si>
    <t>Password</t>
  </si>
  <si>
    <t>Bexim2023</t>
  </si>
  <si>
    <t>LocalServer</t>
  </si>
  <si>
    <t>Cestovné</t>
  </si>
  <si>
    <t>Elektrická energie</t>
  </si>
  <si>
    <t>Kancelářský materiál</t>
  </si>
  <si>
    <t>Obalový materiál - krabice, palety</t>
  </si>
  <si>
    <t>Občerstvení pro obchodní partnery</t>
  </si>
  <si>
    <t>OOPP + BOZP vybavení</t>
  </si>
  <si>
    <t>PHM</t>
  </si>
  <si>
    <t>Poštovné</t>
  </si>
  <si>
    <t>Software, www stránky</t>
  </si>
  <si>
    <t>Telefon, internet</t>
  </si>
  <si>
    <t>Úklid budovy</t>
  </si>
  <si>
    <t>Vybavení kanceláří</t>
  </si>
  <si>
    <t>Výrobní stroje</t>
  </si>
  <si>
    <t>Dekorační předměty, údržba zeleně</t>
  </si>
  <si>
    <t>Kooperace I</t>
  </si>
  <si>
    <t>Kooperace II</t>
  </si>
  <si>
    <t>Mycí, čistící, desinfekční prostředky</t>
  </si>
  <si>
    <t>Ostatní spotřeba - režie</t>
  </si>
  <si>
    <t>Ostatní spotřeba - výroba</t>
  </si>
  <si>
    <t>Poradenství (právní, dotační)</t>
  </si>
  <si>
    <t>Drobný HIM - nářadí</t>
  </si>
  <si>
    <t>Nájemné</t>
  </si>
  <si>
    <t>Plyn na svařování</t>
  </si>
  <si>
    <t>Pojištění zaměstnanců</t>
  </si>
  <si>
    <t>Svařovací materiál</t>
  </si>
  <si>
    <t>Doprava</t>
  </si>
  <si>
    <t>Likvidace odpadu</t>
  </si>
  <si>
    <t>Patenty, certifikace zařízení</t>
  </si>
  <si>
    <t>Veletrhy, výstavy</t>
  </si>
  <si>
    <t>Řezání vodním paprskem</t>
  </si>
  <si>
    <t>Pronájem plynových lahví</t>
  </si>
  <si>
    <t>Výdej materiálu + zboží ze skladu</t>
  </si>
  <si>
    <t>Budova, venkovní prostory</t>
  </si>
  <si>
    <t>Občerstvení - kuchyňka, kantýna</t>
  </si>
  <si>
    <t>Propagační předměty (do 500,- Kč/ks)</t>
  </si>
  <si>
    <t>Drobný HIM - správní budova</t>
  </si>
  <si>
    <t>Drobný HIM - vybavení dílny</t>
  </si>
  <si>
    <t>Propagace, reklama</t>
  </si>
  <si>
    <t>Účetní, dańové poradenství</t>
  </si>
  <si>
    <t>Provize za zprostředkování obchodu</t>
  </si>
  <si>
    <t>Zodpovídá</t>
  </si>
  <si>
    <t>Známka</t>
  </si>
  <si>
    <t>Rozpočet</t>
  </si>
  <si>
    <t>Celkem</t>
  </si>
  <si>
    <t>Skutečnost</t>
  </si>
  <si>
    <t>Materiálové náklady</t>
  </si>
  <si>
    <t>Tonery</t>
  </si>
  <si>
    <t>Spotřeba energií (20%)</t>
  </si>
  <si>
    <t>Plyn</t>
  </si>
  <si>
    <t>Voda</t>
  </si>
  <si>
    <t>Opravy a údržba</t>
  </si>
  <si>
    <t>Náklady na reprezentaci</t>
  </si>
  <si>
    <t>Služby</t>
  </si>
  <si>
    <t>BOZP, PO, revize</t>
  </si>
  <si>
    <t>Marketing</t>
  </si>
  <si>
    <t>Inzerce</t>
  </si>
  <si>
    <t>Daně a poplatky</t>
  </si>
  <si>
    <t>Ostatní provozní náklady</t>
  </si>
  <si>
    <t>Pojištění vozidel</t>
  </si>
  <si>
    <t>Ostatní - nezařazené</t>
  </si>
  <si>
    <t>Odpisy</t>
  </si>
  <si>
    <t>Finanční náklady</t>
  </si>
  <si>
    <t>FIXNÍ NÁKLADY</t>
  </si>
  <si>
    <t>CELKEM FIXNÍ NÁKLADY</t>
  </si>
  <si>
    <t>VARIABILNÍ NÁKLADY</t>
  </si>
  <si>
    <t>Brusivo</t>
  </si>
  <si>
    <t>Obalový materiál - zámořské balení</t>
  </si>
  <si>
    <t>Spotřeba energií (80%)</t>
  </si>
  <si>
    <t>Opravy a údržba vozidel</t>
  </si>
  <si>
    <t>Ostatní služby k zakázce</t>
  </si>
  <si>
    <t>Rozpracovaná výroba</t>
  </si>
  <si>
    <t>CELKEM VARIABILNÍ NÄKLADY</t>
  </si>
  <si>
    <t>CELKEM NÁKLADY</t>
  </si>
  <si>
    <t>REKLAMACE</t>
  </si>
  <si>
    <t>VÝNOSY - VÝROBA</t>
  </si>
  <si>
    <t>Tržby za vlastní výrobky + zboží</t>
  </si>
  <si>
    <t>Tržby za služby</t>
  </si>
  <si>
    <t>VÝNOSY - SERVIS</t>
  </si>
  <si>
    <t>Tržby za ND servis</t>
  </si>
  <si>
    <t>Opravy, servisy, montáže</t>
  </si>
  <si>
    <t>CELKEM VÝNOSY</t>
  </si>
  <si>
    <t>ZISK provozní</t>
  </si>
  <si>
    <t>VÝNOSY / NÁKLADY - OSTATNÍ</t>
  </si>
  <si>
    <t>FVE</t>
  </si>
  <si>
    <t>Tržby z prodeje materiálu + majetku</t>
  </si>
  <si>
    <t>Dotace</t>
  </si>
  <si>
    <t>Pojistná plnění</t>
  </si>
  <si>
    <t>Finanční výnosy</t>
  </si>
  <si>
    <t>Pronájem Bezručova</t>
  </si>
  <si>
    <t>VÝNOSY - OSTATNÍ</t>
  </si>
  <si>
    <t>Celkový zisk</t>
  </si>
  <si>
    <t>SKLAD MATERIÁLU</t>
  </si>
  <si>
    <t>STAV SKLADU</t>
  </si>
  <si>
    <t>SKLAD NAKUPOVANÝCH DÍLU</t>
  </si>
  <si>
    <t>SKLAD PAPRSEK</t>
  </si>
  <si>
    <t>SKLAD VÝROBKU</t>
  </si>
  <si>
    <t>POLOTOVARY VLASTNÍ VÝROBY</t>
  </si>
  <si>
    <t>SERVIS</t>
  </si>
  <si>
    <t>SKLAD HOTOVÁ ZAŘÍZENÍ</t>
  </si>
  <si>
    <t>NEDOKONČENÁ VÝROBA</t>
  </si>
  <si>
    <t>Osobní náklady</t>
  </si>
  <si>
    <t>STAV NEDOKONČENÉ VÝROBY</t>
  </si>
  <si>
    <t>Rozdíl</t>
  </si>
  <si>
    <t>Bexim2020</t>
  </si>
  <si>
    <t>Bexim2021</t>
  </si>
  <si>
    <t>Bexim2022</t>
  </si>
  <si>
    <t>192.168.25.5\HELIOS</t>
  </si>
  <si>
    <t>iNuvio001</t>
  </si>
  <si>
    <t>Ostatní spotřeba - výzkum a vývoj</t>
  </si>
  <si>
    <t>Vlastní zdroje z dotačních projektů</t>
  </si>
  <si>
    <t>VÝZKUM A VÝVOJ</t>
  </si>
  <si>
    <t>vintrlik</t>
  </si>
  <si>
    <t>Aktivní?</t>
  </si>
  <si>
    <t>x</t>
  </si>
  <si>
    <t>Nazev</t>
  </si>
  <si>
    <t>Ucet</t>
  </si>
  <si>
    <t>- budova, venkovní prostory</t>
  </si>
  <si>
    <t>Hlavní barva</t>
  </si>
  <si>
    <t>Doplňková barva</t>
  </si>
  <si>
    <t>Datum</t>
  </si>
  <si>
    <t>Firma</t>
  </si>
  <si>
    <t>Zamestnanec</t>
  </si>
  <si>
    <t>CastkaMD</t>
  </si>
  <si>
    <t>CastkaDAL</t>
  </si>
  <si>
    <t>Popis</t>
  </si>
  <si>
    <t>- software, www stránky</t>
  </si>
  <si>
    <t>- sklad NAKUPOVANÝCH DÍLU</t>
  </si>
  <si>
    <t>- BOZP, PO, revize</t>
  </si>
  <si>
    <t>- celní služby</t>
  </si>
  <si>
    <t>- tuzemsko</t>
  </si>
  <si>
    <t>- zahraničí</t>
  </si>
  <si>
    <t>- ubytování na služební cestě</t>
  </si>
  <si>
    <t>- letenky</t>
  </si>
  <si>
    <t>- daň z elektřiny</t>
  </si>
  <si>
    <t>- soudní poplatky</t>
  </si>
  <si>
    <t>- vízum</t>
  </si>
  <si>
    <t>- dekorační předměty, údržba zeleně</t>
  </si>
  <si>
    <t>- doprava</t>
  </si>
  <si>
    <t>- drobný HIM - nářadí</t>
  </si>
  <si>
    <t>- drobný HIM - správní budova</t>
  </si>
  <si>
    <t>- drobný HIM - vybavení dílny</t>
  </si>
  <si>
    <t>- elektrická energie</t>
  </si>
  <si>
    <t>- z úvěrů na auta</t>
  </si>
  <si>
    <t>- z úvěrů na FVE, halu, laser</t>
  </si>
  <si>
    <t>Kursové ztráty</t>
  </si>
  <si>
    <t>- z měnových konverzí (FORWARDU)</t>
  </si>
  <si>
    <t>- bankovní poplatky</t>
  </si>
  <si>
    <t>Úroky</t>
  </si>
  <si>
    <t>Kursové zisky</t>
  </si>
  <si>
    <t>- odvod ze slunečního záření</t>
  </si>
  <si>
    <t>- elektřina E.ON (zelený bonus)</t>
  </si>
  <si>
    <t>- kancelářský materiál</t>
  </si>
  <si>
    <t>- kooperace I</t>
  </si>
  <si>
    <t>- kooperace II</t>
  </si>
  <si>
    <t>Kurzy AJ, školení</t>
  </si>
  <si>
    <t>- kurzy AJ, školení</t>
  </si>
  <si>
    <t>- likvidace odpadu</t>
  </si>
  <si>
    <t>Materiál na cestě</t>
  </si>
  <si>
    <t>- materiál na cestě</t>
  </si>
  <si>
    <t>- mycí, čistící, desinfekční prostředky</t>
  </si>
  <si>
    <t>- nájemné</t>
  </si>
  <si>
    <t>Nedokončená výroba</t>
  </si>
  <si>
    <t>- obalový materiál</t>
  </si>
  <si>
    <t>- palety</t>
  </si>
  <si>
    <t>- zámořské balení</t>
  </si>
  <si>
    <t>- občerstvení - kuchyňka, kantýna</t>
  </si>
  <si>
    <t>- občerstvení - obchodní partneři</t>
  </si>
  <si>
    <t>- odpisy HIM (STA+HM1+FVE)</t>
  </si>
  <si>
    <t>- odpisy forem (účetní = daňový) (HMF)</t>
  </si>
  <si>
    <t>-odpisy DHIM (účetní = daňový) (DM1)</t>
  </si>
  <si>
    <t>HIM dlouhodobý - Inovace 8 (HM3)</t>
  </si>
  <si>
    <t>Nehmotný majetek - SW Inovace 8 (NM3)</t>
  </si>
  <si>
    <t>HIM drobný - Inovace 8 (DM2)</t>
  </si>
  <si>
    <t>- OOPP pro zaměstnance</t>
  </si>
  <si>
    <t>501010</t>
  </si>
  <si>
    <t>Opravná položka k materiálu</t>
  </si>
  <si>
    <t>Opravná položka k výrobkům</t>
  </si>
  <si>
    <t>- Škoda Octavia (RZ: 4AB 1209)</t>
  </si>
  <si>
    <t>- VW Crafter (RZ: 9B6 3309)</t>
  </si>
  <si>
    <t>- IVECO (RZ: 1BS 5697)</t>
  </si>
  <si>
    <t>- Škoda Octavia (RZ: 6AC 8759)</t>
  </si>
  <si>
    <t>- Škoda Octavia (RZ: 7AS3004)</t>
  </si>
  <si>
    <t>- opravy, servisy, montáže (pozáruční)</t>
  </si>
  <si>
    <t>- hrubé mzdy - HPP</t>
  </si>
  <si>
    <t>- hrubé mzdy - DPP</t>
  </si>
  <si>
    <t>- sociální pojištění</t>
  </si>
  <si>
    <t>- zdravotní pojištění</t>
  </si>
  <si>
    <t>- penzijní, životní pojištění zaměstnanců</t>
  </si>
  <si>
    <t>- vstupní prohlídky, očkování zaměstnanců</t>
  </si>
  <si>
    <t>Stravenkový paušál</t>
  </si>
  <si>
    <t>- haléřové vyrovnání</t>
  </si>
  <si>
    <t>- pojištění podnikatelských rizik</t>
  </si>
  <si>
    <t>- poplatky CCS</t>
  </si>
  <si>
    <t>- pojištění řidičů CCS</t>
  </si>
  <si>
    <t>- pojištění úvěru 7223601</t>
  </si>
  <si>
    <t>- nedaňové náklady</t>
  </si>
  <si>
    <t>- pronájem/užívání movitých věcí</t>
  </si>
  <si>
    <t>Ostatní provozní výnosy</t>
  </si>
  <si>
    <t>- ostatní služby - výrobní (k zakázce)</t>
  </si>
  <si>
    <t>- ostatní spotřeba - auta</t>
  </si>
  <si>
    <t>- ostatní spotřeba - režie</t>
  </si>
  <si>
    <t>- ostatní spotřeba - výroba</t>
  </si>
  <si>
    <t>- parkovné</t>
  </si>
  <si>
    <t>- patenty, užitné vzory</t>
  </si>
  <si>
    <t>- PHM - Hyundai i20 (RZ: 8B6 6517)</t>
  </si>
  <si>
    <t>- PHM - Škoda Octavia (RZ: 4AB 1209)</t>
  </si>
  <si>
    <t>- PHM - VW Crafter (RZ: 9B6 3309)</t>
  </si>
  <si>
    <t>- PHM - IVECO (RZ: 1BS 5697)</t>
  </si>
  <si>
    <t>- PHM - VZV (plyn)</t>
  </si>
  <si>
    <t>- PHM - Citroen Berlingo (RZ: 1BL 9518)</t>
  </si>
  <si>
    <t>- PHM - Renault Trafic (RZ. 2BC 8801)</t>
  </si>
  <si>
    <t>- PHM - Škoda Rapid (RZ: 6AU 7496)</t>
  </si>
  <si>
    <t>- PHM - Škoda Octavia (RZ 6AC 8759)</t>
  </si>
  <si>
    <t>- PHM - VW Tiguan (RZ: 2BI 5126)</t>
  </si>
  <si>
    <t>- PHM - Mercedes (RZ: STELLA 77)</t>
  </si>
  <si>
    <t>- PHM - Škoda Octavia (RZ: 7AS 3004)</t>
  </si>
  <si>
    <t>- PHM - Škoda Octavia (RZ: 8AI 9325)</t>
  </si>
  <si>
    <t>- plyn na svařování</t>
  </si>
  <si>
    <t>- plyn laser</t>
  </si>
  <si>
    <t>- pojištění aut</t>
  </si>
  <si>
    <t>- pojištění zaměstnanců</t>
  </si>
  <si>
    <t>Polotovary vlastní výroby</t>
  </si>
  <si>
    <t>- právní služby</t>
  </si>
  <si>
    <t>Pořízení materiálu</t>
  </si>
  <si>
    <t>- pořízení materiálu</t>
  </si>
  <si>
    <t>Poskytnuté nepeněžité dary</t>
  </si>
  <si>
    <t>- poštovné</t>
  </si>
  <si>
    <t>- pronájem pozemku EMBRA a jiný pronájem</t>
  </si>
  <si>
    <t>- propagace, reklama</t>
  </si>
  <si>
    <t>- propagační předměty (do 500,- Kč/ks)</t>
  </si>
  <si>
    <t>- nedokončená výroba</t>
  </si>
  <si>
    <t>Změna stavu polotovarů vlastní výroby</t>
  </si>
  <si>
    <t>Změna stavu polotovarů sklad SERVIS</t>
  </si>
  <si>
    <t>- sklad HOTOVÁ ZAŘÍZENÍ</t>
  </si>
  <si>
    <t>- řezání vodním paprskem</t>
  </si>
  <si>
    <t>- savý textil</t>
  </si>
  <si>
    <t>Polotovary pro SERVIS</t>
  </si>
  <si>
    <t>- sklad HOTOVÁ ZAŘIZENÍ</t>
  </si>
  <si>
    <t>Sklad NAKUPOVANÝCH DÍLU</t>
  </si>
  <si>
    <t>- sklad HUTNÍ</t>
  </si>
  <si>
    <t>- sklad PAPRSEK_TECH</t>
  </si>
  <si>
    <t>- svařovací materiál</t>
  </si>
  <si>
    <t>- telefon, internet</t>
  </si>
  <si>
    <t>Tržby z prodeje materiálu</t>
  </si>
  <si>
    <t>- vlastní výrobky - ND servis</t>
  </si>
  <si>
    <t>- zakázky ostatní (ZO) bez montáže</t>
  </si>
  <si>
    <t>- vlastní zařízení (bez montáže)</t>
  </si>
  <si>
    <t>- účetní, dańové poradenství</t>
  </si>
  <si>
    <t>- úklid budovy</t>
  </si>
  <si>
    <t>- vybavení kanceláří</t>
  </si>
  <si>
    <t>- materiál kanban</t>
  </si>
  <si>
    <t>- výdejky - sklad HUTNÍ</t>
  </si>
  <si>
    <t>- rozdíly z příjemek</t>
  </si>
  <si>
    <t>- výrobní stroje</t>
  </si>
  <si>
    <t>Daň z nemovitých věcí</t>
  </si>
  <si>
    <t>- dálniční známky</t>
  </si>
  <si>
    <t>- inzerce</t>
  </si>
  <si>
    <t>- OP účetní k pohledávkám</t>
  </si>
  <si>
    <t>- Hyundai i20 (RZ: 8B6 6517)</t>
  </si>
  <si>
    <t>- VOLVO (RZ: 8B4 6265)</t>
  </si>
  <si>
    <t>- Renault Trafic (RZ. 2BC 8801)</t>
  </si>
  <si>
    <t>- Citroen Berlingo (RZ. 1BL 9518)</t>
  </si>
  <si>
    <t>- Škoda Rapid (RZ. 6AU 7496)</t>
  </si>
  <si>
    <t>- VW Tiguan (RZ: 2BI 5122)</t>
  </si>
  <si>
    <t>- Mercedes (RZ: STELLA 77)</t>
  </si>
  <si>
    <t>- VZV</t>
  </si>
  <si>
    <t>- PHM - VOLVO (RZ: 8B4 6265)</t>
  </si>
  <si>
    <t>- PHM - Škoda Rapid (RZ: 3SN 5001)</t>
  </si>
  <si>
    <t>- poradenství (právní, dotační)</t>
  </si>
  <si>
    <t>- pronájem plynových lahví</t>
  </si>
  <si>
    <t>- provize za zprostředkování obchodu</t>
  </si>
  <si>
    <t>Tržby z prodeje dlouhodobého nehmotného a hmotného majetku</t>
  </si>
  <si>
    <t>- veletrhy, výstavy</t>
  </si>
  <si>
    <t>ZC HIM daňově</t>
  </si>
  <si>
    <t>- ZC HIM daňově</t>
  </si>
  <si>
    <t>- z měnových konverzí (FORWARDY)</t>
  </si>
  <si>
    <t>- Škoda Rapid (RZ: 3SN 5001)</t>
  </si>
  <si>
    <t>- Škoda Octavia (RZ: 8AI 9325)</t>
  </si>
  <si>
    <t>- zákonné pojištění zaměstnanců KOOPERATIVA</t>
  </si>
  <si>
    <t>- ostatní provozní výnosy</t>
  </si>
  <si>
    <t>- PHM - VZV Capstan (benzin)</t>
  </si>
  <si>
    <t>- voda</t>
  </si>
  <si>
    <t>- správní poplatky</t>
  </si>
  <si>
    <t>- montáže vlastních zařízení</t>
  </si>
  <si>
    <t>- výdejky - sklad PAPRSEK_TECH</t>
  </si>
  <si>
    <t>- PHM - Renault Master (RZ: 8P9 2790)</t>
  </si>
  <si>
    <t>- BOZP, PO vybavení</t>
  </si>
  <si>
    <t>- Renault Master (RZ: 8P9 2790)</t>
  </si>
  <si>
    <t>- ostatní poplatky</t>
  </si>
  <si>
    <t>- ostatní spotřeba - výzkum a vývoj</t>
  </si>
  <si>
    <t>(prázdné)</t>
  </si>
  <si>
    <t>- předplatné</t>
  </si>
  <si>
    <t>- Renault Trafic (RZ: 1BT 8468) - PRODÁNO</t>
  </si>
  <si>
    <t>- PHM - Renault Trafic (RZ: 1BT 8468) - PRODÁNO</t>
  </si>
  <si>
    <t>- dotace INOVAČNÍ VOUCHERY II</t>
  </si>
  <si>
    <t>- ostatní pojištění</t>
  </si>
  <si>
    <t>Ctrl+G (graf)  Crtl+A (označit pro nápočet)</t>
  </si>
  <si>
    <t>- tonery</t>
  </si>
  <si>
    <t>- ostatní služby (testování, apod.)</t>
  </si>
  <si>
    <t>EXE</t>
  </si>
  <si>
    <t>Rok</t>
  </si>
  <si>
    <t>Mesic</t>
  </si>
  <si>
    <t>Obdobi</t>
  </si>
  <si>
    <t>Skupina</t>
  </si>
  <si>
    <t>Skutecnost</t>
  </si>
  <si>
    <t>202404</t>
  </si>
  <si>
    <t>112005</t>
  </si>
  <si>
    <t>518009</t>
  </si>
  <si>
    <t>511001</t>
  </si>
  <si>
    <t>518018</t>
  </si>
  <si>
    <t>512001</t>
  </si>
  <si>
    <t>512002</t>
  </si>
  <si>
    <t>512004</t>
  </si>
  <si>
    <t>512005</t>
  </si>
  <si>
    <t>538004</t>
  </si>
  <si>
    <t>538007</t>
  </si>
  <si>
    <t>538008</t>
  </si>
  <si>
    <t>501017</t>
  </si>
  <si>
    <t>518007</t>
  </si>
  <si>
    <t>501016</t>
  </si>
  <si>
    <t>501005</t>
  </si>
  <si>
    <t>501006</t>
  </si>
  <si>
    <t>502001</t>
  </si>
  <si>
    <t>562001</t>
  </si>
  <si>
    <t>562002</t>
  </si>
  <si>
    <t>563000</t>
  </si>
  <si>
    <t>563001</t>
  </si>
  <si>
    <t>568001</t>
  </si>
  <si>
    <t>662000</t>
  </si>
  <si>
    <t>663000</t>
  </si>
  <si>
    <t>538003</t>
  </si>
  <si>
    <t>601002</t>
  </si>
  <si>
    <t>501001</t>
  </si>
  <si>
    <t>518012</t>
  </si>
  <si>
    <t>518013</t>
  </si>
  <si>
    <t>518019</t>
  </si>
  <si>
    <t>518006</t>
  </si>
  <si>
    <t>119001</t>
  </si>
  <si>
    <t>501003</t>
  </si>
  <si>
    <t>518003</t>
  </si>
  <si>
    <t>121000</t>
  </si>
  <si>
    <t>501011</t>
  </si>
  <si>
    <t>501012</t>
  </si>
  <si>
    <t>501021</t>
  </si>
  <si>
    <t>513001</t>
  </si>
  <si>
    <t>513002</t>
  </si>
  <si>
    <t>551001</t>
  </si>
  <si>
    <t>551003</t>
  </si>
  <si>
    <t>551004</t>
  </si>
  <si>
    <t>551007</t>
  </si>
  <si>
    <t>551009</t>
  </si>
  <si>
    <t>551010</t>
  </si>
  <si>
    <t>191000</t>
  </si>
  <si>
    <t>194000</t>
  </si>
  <si>
    <t>511008</t>
  </si>
  <si>
    <t>511013</t>
  </si>
  <si>
    <t>511018</t>
  </si>
  <si>
    <t>511019</t>
  </si>
  <si>
    <t>511025</t>
  </si>
  <si>
    <t>511032</t>
  </si>
  <si>
    <t>602002</t>
  </si>
  <si>
    <t>521001</t>
  </si>
  <si>
    <t>521002</t>
  </si>
  <si>
    <t>524001</t>
  </si>
  <si>
    <t>524002</t>
  </si>
  <si>
    <t>527003</t>
  </si>
  <si>
    <t>527005</t>
  </si>
  <si>
    <t>527006</t>
  </si>
  <si>
    <t>548001</t>
  </si>
  <si>
    <t>548004</t>
  </si>
  <si>
    <t>548006</t>
  </si>
  <si>
    <t>548014</t>
  </si>
  <si>
    <t>548015</t>
  </si>
  <si>
    <t>548097</t>
  </si>
  <si>
    <t>602001</t>
  </si>
  <si>
    <t>648000</t>
  </si>
  <si>
    <t>648001</t>
  </si>
  <si>
    <t>518025</t>
  </si>
  <si>
    <t>501015</t>
  </si>
  <si>
    <t>501014</t>
  </si>
  <si>
    <t>501013</t>
  </si>
  <si>
    <t>518014</t>
  </si>
  <si>
    <t>518017</t>
  </si>
  <si>
    <t>503005</t>
  </si>
  <si>
    <t>503006</t>
  </si>
  <si>
    <t>503011</t>
  </si>
  <si>
    <t>503016</t>
  </si>
  <si>
    <t>503017</t>
  </si>
  <si>
    <t>503019</t>
  </si>
  <si>
    <t>503021</t>
  </si>
  <si>
    <t>503022</t>
  </si>
  <si>
    <t>503023</t>
  </si>
  <si>
    <t>503025</t>
  </si>
  <si>
    <t>503027</t>
  </si>
  <si>
    <t>503028</t>
  </si>
  <si>
    <t>503030</t>
  </si>
  <si>
    <t>503031</t>
  </si>
  <si>
    <t>501009</t>
  </si>
  <si>
    <t>501022</t>
  </si>
  <si>
    <t>548002</t>
  </si>
  <si>
    <t>548003</t>
  </si>
  <si>
    <t>122000</t>
  </si>
  <si>
    <t>518011</t>
  </si>
  <si>
    <t>111001</t>
  </si>
  <si>
    <t>543000</t>
  </si>
  <si>
    <t>518001</t>
  </si>
  <si>
    <t>602004</t>
  </si>
  <si>
    <t>518027</t>
  </si>
  <si>
    <t>501004</t>
  </si>
  <si>
    <t>581001</t>
  </si>
  <si>
    <t>582000</t>
  </si>
  <si>
    <t>582001</t>
  </si>
  <si>
    <t>583002</t>
  </si>
  <si>
    <t>602003</t>
  </si>
  <si>
    <t>501019</t>
  </si>
  <si>
    <t>122001</t>
  </si>
  <si>
    <t>123002</t>
  </si>
  <si>
    <t>112002</t>
  </si>
  <si>
    <t>112006</t>
  </si>
  <si>
    <t>518005</t>
  </si>
  <si>
    <t>501008</t>
  </si>
  <si>
    <t>518002</t>
  </si>
  <si>
    <t>642000</t>
  </si>
  <si>
    <t>601004</t>
  </si>
  <si>
    <t>601001</t>
  </si>
  <si>
    <t>601003</t>
  </si>
  <si>
    <t>518010</t>
  </si>
  <si>
    <t>518021</t>
  </si>
  <si>
    <t>511003</t>
  </si>
  <si>
    <t>501027</t>
  </si>
  <si>
    <t>501101</t>
  </si>
  <si>
    <t>501107</t>
  </si>
  <si>
    <t>511002</t>
  </si>
  <si>
    <t>202405</t>
  </si>
  <si>
    <t>532000</t>
  </si>
  <si>
    <t>538005</t>
  </si>
  <si>
    <t>518022</t>
  </si>
  <si>
    <t>559002</t>
  </si>
  <si>
    <t>511007</t>
  </si>
  <si>
    <t>511012</t>
  </si>
  <si>
    <t>511022</t>
  </si>
  <si>
    <t>511023</t>
  </si>
  <si>
    <t>511024</t>
  </si>
  <si>
    <t>511027</t>
  </si>
  <si>
    <t>511028</t>
  </si>
  <si>
    <t>511029</t>
  </si>
  <si>
    <t>503010</t>
  </si>
  <si>
    <t>503014</t>
  </si>
  <si>
    <t>518026</t>
  </si>
  <si>
    <t>518020</t>
  </si>
  <si>
    <t>518029</t>
  </si>
  <si>
    <t>641000</t>
  </si>
  <si>
    <t>518004</t>
  </si>
  <si>
    <t>541001</t>
  </si>
  <si>
    <t>202406</t>
  </si>
  <si>
    <t>663001</t>
  </si>
  <si>
    <t>511016</t>
  </si>
  <si>
    <t>511033</t>
  </si>
  <si>
    <t>527002</t>
  </si>
  <si>
    <t>648008</t>
  </si>
  <si>
    <t>503024</t>
  </si>
  <si>
    <t>502003</t>
  </si>
  <si>
    <t>202407</t>
  </si>
  <si>
    <t>648022</t>
  </si>
  <si>
    <t>538001</t>
  </si>
  <si>
    <t>602007</t>
  </si>
  <si>
    <t>501105</t>
  </si>
  <si>
    <t>202408</t>
  </si>
  <si>
    <t>503032</t>
  </si>
  <si>
    <t>501018</t>
  </si>
  <si>
    <t>202409</t>
  </si>
  <si>
    <t>511034</t>
  </si>
  <si>
    <t>548008</t>
  </si>
  <si>
    <t>501026</t>
  </si>
  <si>
    <t>202410</t>
  </si>
  <si>
    <t>548005</t>
  </si>
  <si>
    <t>518023</t>
  </si>
  <si>
    <t>501002</t>
  </si>
  <si>
    <t>602009</t>
  </si>
  <si>
    <t>202503</t>
  </si>
  <si>
    <t>202411</t>
  </si>
  <si>
    <t>Kooperace - kapilární zkouška</t>
  </si>
  <si>
    <t>- kooperace - kapilární zkouška</t>
  </si>
  <si>
    <t>518033</t>
  </si>
  <si>
    <t>Ostatní pokuty a penále</t>
  </si>
  <si>
    <t>545000</t>
  </si>
  <si>
    <t>- certifikace zařízení</t>
  </si>
  <si>
    <t>518016</t>
  </si>
  <si>
    <t>- pojistná plnění auta</t>
  </si>
  <si>
    <t>648004</t>
  </si>
  <si>
    <t>202412</t>
  </si>
  <si>
    <t>- dotace OPZ+</t>
  </si>
  <si>
    <t>648023</t>
  </si>
  <si>
    <t>- vouchery pro obchodní partnery</t>
  </si>
  <si>
    <t>513003</t>
  </si>
  <si>
    <t>202501</t>
  </si>
  <si>
    <t>- dotace INOVAČNÍ VOUCHERY III</t>
  </si>
  <si>
    <t>648024</t>
  </si>
  <si>
    <t>202502</t>
  </si>
  <si>
    <t>- plyn</t>
  </si>
  <si>
    <t>502002</t>
  </si>
  <si>
    <t>Vlastní poznámka</t>
  </si>
  <si>
    <t>Aleš Vintrlík</t>
  </si>
  <si>
    <t>konzultace Helios</t>
  </si>
  <si>
    <t>EPLAN Software s.r.o.</t>
  </si>
  <si>
    <t>Software-Service Basic Za období 01.03.2025 do 31.03.2025 EPLAN Electric P8 Compact Singl licence</t>
  </si>
  <si>
    <t>- inventurní manko - SKLADY</t>
  </si>
  <si>
    <t>549003</t>
  </si>
  <si>
    <t>- SKLADY - přebytky při inventarizaci</t>
  </si>
  <si>
    <t>648010</t>
  </si>
  <si>
    <t>202504</t>
  </si>
  <si>
    <t>- mýtné</t>
  </si>
  <si>
    <t>538006</t>
  </si>
  <si>
    <t>Ostatní výnosy - nezařazené</t>
  </si>
  <si>
    <t>Ostatní-nezařazené</t>
  </si>
  <si>
    <t>- dotace MARKETING 10</t>
  </si>
  <si>
    <t>648025</t>
  </si>
  <si>
    <t>- dotace DIGI PRO 10192</t>
  </si>
  <si>
    <t>648026</t>
  </si>
  <si>
    <t>- dotace ostatní</t>
  </si>
  <si>
    <t>648005</t>
  </si>
  <si>
    <t>202505</t>
  </si>
  <si>
    <t>- PHM - Renault Trafic (RZ: 3BK 0853)</t>
  </si>
  <si>
    <t>503033</t>
  </si>
  <si>
    <t>202506</t>
  </si>
  <si>
    <t>- dotace Digi pro školení dovedností AI</t>
  </si>
  <si>
    <t>648027</t>
  </si>
  <si>
    <t>Daň z příjmů - odložená</t>
  </si>
  <si>
    <t>592000</t>
  </si>
  <si>
    <t>Daň z příjmů - splatná</t>
  </si>
  <si>
    <t>591000</t>
  </si>
  <si>
    <t>- dotace TREND 3 - REGLOBE</t>
  </si>
  <si>
    <t>648028</t>
  </si>
  <si>
    <t>- z úvěru SALMON SERVICES</t>
  </si>
  <si>
    <t>562004</t>
  </si>
  <si>
    <t>- OP účetní k zásobám</t>
  </si>
  <si>
    <t>559001</t>
  </si>
  <si>
    <t>OP k nepromlčeným pohledávkám</t>
  </si>
  <si>
    <t>- OP k nepromlčeným pohledávkám</t>
  </si>
  <si>
    <t>558002</t>
  </si>
  <si>
    <t>Příspěvek REsolar (admin. náklady)</t>
  </si>
  <si>
    <t>- příspěvek REsolar (admin. náklady)</t>
  </si>
  <si>
    <t>518030</t>
  </si>
  <si>
    <t>Tvorba a zúčtování ostatních rezerv</t>
  </si>
  <si>
    <t>554000</t>
  </si>
  <si>
    <t>Tvorba a zúčtování rezerv podle zvláštních právníc</t>
  </si>
  <si>
    <t>Tvorba a zúčtování rezerv podle zvláštních právních předpisů</t>
  </si>
  <si>
    <t>552000</t>
  </si>
  <si>
    <t>- Renault Trafic (RZ: 3BK 0853)</t>
  </si>
  <si>
    <t>511035</t>
  </si>
  <si>
    <t>202507</t>
  </si>
  <si>
    <t>202508</t>
  </si>
  <si>
    <t>- brusivo</t>
  </si>
  <si>
    <t>501007</t>
  </si>
  <si>
    <t>202509</t>
  </si>
  <si>
    <t>202510</t>
  </si>
  <si>
    <t>202511</t>
  </si>
  <si>
    <t>Odpis pohledávek - daňově</t>
  </si>
  <si>
    <t>- odpis pohledávek - daňově</t>
  </si>
  <si>
    <t>546001</t>
  </si>
  <si>
    <t>- rozhlasové a TV poplatky</t>
  </si>
  <si>
    <t>548007</t>
  </si>
  <si>
    <t>členské příspěvky</t>
  </si>
  <si>
    <t>548010</t>
  </si>
  <si>
    <t>202512</t>
  </si>
  <si>
    <t>- PHM - Peugeot Boxer (RZ: 7Z9 7082)</t>
  </si>
  <si>
    <t>503035</t>
  </si>
  <si>
    <t>202601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</si>
</sst>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_-* #,##0_-;\-* #,##0_-;_-* &quot;-&quot;??_-;_-@_-"/>
    <numFmt numFmtId="166" formatCode="dd\.mm\.yyyy"/>
  </numFmts>
  <fonts count="10" x14ac:knownFonts="1">
    <font>
      <sz val="10"/>
      <color theme="1"/>
      <name val="Yu Gothic UI Semilight"/>
      <family val="2"/>
      <charset val="238"/>
    </font>
    <font>
      <sz val="10"/>
      <color theme="0"/>
      <name val="Yu Gothic UI Semilight"/>
      <family val="2"/>
      <charset val="238"/>
    </font>
    <font>
      <sz val="10"/>
      <color theme="1"/>
      <name val="Yu Gothic UI Semilight"/>
      <family val="2"/>
      <charset val="238"/>
    </font>
    <font>
      <b/>
      <sz val="10"/>
      <color theme="1"/>
      <name val="Yu Gothic UI Semilight"/>
      <family val="2"/>
      <charset val="238"/>
    </font>
    <font>
      <b/>
      <sz val="10"/>
      <color theme="0"/>
      <name val="Yu Gothic UI Semilight"/>
      <family val="2"/>
      <charset val="238"/>
    </font>
    <font>
      <b/>
      <sz val="9"/>
      <color theme="1"/>
      <name val="Yu Gothic UI Semilight"/>
      <family val="2"/>
      <charset val="238"/>
    </font>
    <font>
      <sz val="8"/>
      <name val="Yu Gothic UI Semilight"/>
      <family val="2"/>
      <charset val="238"/>
    </font>
    <font>
      <b/>
      <sz val="8"/>
      <color rgb="FF000000"/>
      <name val="Consolas"/>
      <family val="3"/>
      <charset val="238"/>
    </font>
    <font>
      <u/>
      <sz val="10"/>
      <color theme="10"/>
      <name val="Yu Gothic UI Semilight"/>
      <family val="2"/>
      <charset val="238"/>
    </font>
    <font>
      <b/>
      <sz val="10"/>
      <color rgb="FF000000"/>
      <name val="Yu Gothic UI Semilight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9686"/>
        <bgColor indexed="64"/>
      </patternFill>
    </fill>
    <fill>
      <patternFill patternType="solid">
        <fgColor rgb="FFFFE7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1FFFF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129">
    <xf numFmtId="0" fontId="0" fillId="0" borderId="0" xfId="0"/>
    <xf numFmtId="0" fontId="1" fillId="0" borderId="0" xfId="0" applyFont="1"/>
    <xf numFmtId="0" fontId="5" fillId="0" borderId="0" xfId="0" applyFont="1" applyAlignment="1" applyProtection="1">
      <alignment horizontal="center" vertical="center" wrapText="1"/>
      <protection hidden="1"/>
    </xf>
    <xf numFmtId="0" fontId="0" fillId="4" borderId="1" xfId="0" applyFill="1" applyBorder="1" applyProtection="1">
      <protection hidden="1"/>
    </xf>
    <xf numFmtId="165" fontId="0" fillId="6" borderId="1" xfId="1" applyNumberFormat="1" applyFont="1" applyFill="1" applyBorder="1" applyProtection="1">
      <protection hidden="1"/>
    </xf>
    <xf numFmtId="165" fontId="0" fillId="0" borderId="0" xfId="1" applyNumberFormat="1" applyFont="1" applyProtection="1">
      <protection hidden="1"/>
    </xf>
    <xf numFmtId="165" fontId="0" fillId="6" borderId="1" xfId="0" applyNumberFormat="1" applyFill="1" applyBorder="1" applyProtection="1">
      <protection hidden="1"/>
    </xf>
    <xf numFmtId="165" fontId="0" fillId="4" borderId="1" xfId="0" applyNumberFormat="1" applyFill="1" applyBorder="1" applyProtection="1">
      <protection hidden="1"/>
    </xf>
    <xf numFmtId="165" fontId="0" fillId="4" borderId="1" xfId="1" applyNumberFormat="1" applyFont="1" applyFill="1" applyBorder="1" applyProtection="1">
      <protection hidden="1"/>
    </xf>
    <xf numFmtId="165" fontId="0" fillId="0" borderId="1" xfId="0" applyNumberFormat="1" applyBorder="1" applyProtection="1">
      <protection hidden="1"/>
    </xf>
    <xf numFmtId="165" fontId="0" fillId="0" borderId="1" xfId="1" applyNumberFormat="1" applyFont="1" applyBorder="1" applyProtection="1">
      <protection hidden="1"/>
    </xf>
    <xf numFmtId="165" fontId="0" fillId="2" borderId="1" xfId="1" applyNumberFormat="1" applyFont="1" applyFill="1" applyBorder="1" applyProtection="1">
      <protection hidden="1"/>
    </xf>
    <xf numFmtId="165" fontId="1" fillId="3" borderId="1" xfId="1" applyNumberFormat="1" applyFont="1" applyFill="1" applyBorder="1" applyProtection="1">
      <protection hidden="1"/>
    </xf>
    <xf numFmtId="165" fontId="0" fillId="2" borderId="1" xfId="0" applyNumberFormat="1" applyFill="1" applyBorder="1" applyProtection="1">
      <protection hidden="1"/>
    </xf>
    <xf numFmtId="165" fontId="2" fillId="5" borderId="1" xfId="1" applyNumberFormat="1" applyFont="1" applyFill="1" applyBorder="1" applyProtection="1">
      <protection hidden="1"/>
    </xf>
    <xf numFmtId="165" fontId="0" fillId="5" borderId="1" xfId="1" applyNumberFormat="1" applyFont="1" applyFill="1" applyBorder="1" applyProtection="1">
      <protection hidden="1"/>
    </xf>
    <xf numFmtId="0" fontId="0" fillId="0" borderId="0" xfId="0" applyProtection="1">
      <protection hidden="1"/>
    </xf>
    <xf numFmtId="165" fontId="0" fillId="0" borderId="0" xfId="1" applyNumberFormat="1" applyFont="1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0" fillId="0" borderId="0" xfId="0" applyProtection="1">
      <protection locked="0"/>
    </xf>
    <xf numFmtId="165" fontId="0" fillId="7" borderId="1" xfId="1" applyNumberFormat="1" applyFont="1" applyFill="1" applyBorder="1" applyProtection="1">
      <protection hidden="1"/>
    </xf>
    <xf numFmtId="0" fontId="0" fillId="0" borderId="0" xfId="0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0" fillId="0" borderId="0" xfId="0" applyNumberFormat="1"/>
    <xf numFmtId="0" fontId="0" fillId="6" borderId="1" xfId="0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1" xfId="0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" xfId="0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1" xfId="0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3" borderId="1" xfId="0" applyFont="1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" xfId="0" applyFill="1" applyBorder="1" applyProtection="1">
      <protection locked="0" hidden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 applyProtection="1">
      <alignment horizontal="center" vertical="center" wrapText="1"/>
      <protection hidden="1"/>
    </xf>
    <xf numFmtId="0" fontId="0" fillId="6" borderId="1" xfId="0" applyFill="1" applyBorder="1" applyProtection="1">
      <protection hidden="1"/>
    </xf>
    <xf numFmtId="0" fontId="0" fillId="0" borderId="0" xfId="0" applyAlignment="1" applyProtection="1">
      <alignment horizontal="left" indent="1"/>
      <protection hidden="1"/>
    </xf>
    <xf numFmtId="0" fontId="0" fillId="0" borderId="1" xfId="0" applyBorder="1" applyProtection="1">
      <protection hidden="1"/>
    </xf>
    <xf numFmtId="0" fontId="0" fillId="7" borderId="1" xfId="0" applyFill="1" applyBorder="1" applyProtection="1">
      <protection hidden="1"/>
    </xf>
    <xf numFmtId="0" fontId="0" fillId="2" borderId="1" xfId="0" applyFill="1" applyBorder="1" applyProtection="1">
      <protection hidden="1"/>
    </xf>
    <xf numFmtId="165" fontId="0" fillId="0" borderId="0" xfId="0" applyNumberFormat="1" applyProtection="1">
      <protection hidden="1"/>
    </xf>
    <xf numFmtId="0" fontId="0" fillId="0" borderId="1" xfId="0" applyBorder="1" applyAlignment="1" applyProtection="1">
      <alignment horizontal="left" indent="1"/>
      <protection hidden="1"/>
    </xf>
    <xf numFmtId="0" fontId="4" fillId="3" borderId="1" xfId="0" applyFont="1" applyFill="1" applyBorder="1" applyProtection="1">
      <protection hidden="1"/>
    </xf>
    <xf numFmtId="0" fontId="0" fillId="5" borderId="1" xfId="0" applyFill="1" applyBorder="1" applyProtection="1">
      <protection hidden="1"/>
    </xf>
    <xf numFmtId="0" fontId="0" fillId="0" borderId="0" xfId="0" applyProtection="1">
      <protection locked="0" hidden="1"/>
    </xf>
    <xf numFmtId="0" fontId="5" fillId="0" borderId="0" xfId="0" applyFont="1" applyAlignment="1" applyProtection="1">
      <alignment horizontal="center" vertical="center" wrapText="1"/>
      <protection locked="0" hidden="1"/>
    </xf>
    <xf numFmtId="0" fontId="0" fillId="4" borderId="1" xfId="0" applyFill="1" applyBorder="1" applyProtection="1">
      <protection locked="0" hidden="1"/>
    </xf>
    <xf numFmtId="0" fontId="0" fillId="0" borderId="1" xfId="0" applyBorder="1" applyProtection="1">
      <protection locked="0" hidden="1"/>
    </xf>
    <xf numFmtId="0" fontId="0" fillId="2" borderId="1" xfId="0" applyFill="1" applyBorder="1" applyProtection="1">
      <protection locked="0" hidden="1"/>
    </xf>
    <xf numFmtId="0" fontId="0" fillId="5" borderId="1" xfId="0" applyFill="1" applyBorder="1" applyProtection="1">
      <protection locked="0" hidden="1"/>
    </xf>
    <xf numFmtId="166" fontId="0" fillId="0" borderId="0" xfId="0" applyNumberFormat="1"/>
    <xf numFmtId="4" fontId="0" fillId="0" borderId="0" xfId="0" applyNumberFormat="1"/>
    <xf numFmtId="3" fontId="0" fillId="0" borderId="0" xfId="0" applyNumberFormat="1"/>
    <xf numFmtId="0" fontId="3" fillId="0" borderId="0" xfId="0" applyFont="1" applyAlignment="1">
      <alignment horizontal="right"/>
    </xf>
    <xf numFmtId="0" fontId="5" fillId="0" borderId="0" xfId="0" applyFont="1" applyAlignment="1" applyProtection="1">
      <alignment horizontal="center" vertical="center" wrapText="1"/>
      <protection locked="0"/>
    </xf>
    <xf numFmtId="0" fontId="0" fillId="4" borderId="1" xfId="0" applyFill="1" applyBorder="1" applyProtection="1">
      <protection locked="0"/>
    </xf>
    <xf numFmtId="0" fontId="0" fillId="6" borderId="1" xfId="0" applyFill="1" applyBorder="1" applyProtection="1">
      <protection locked="0"/>
    </xf>
    <xf numFmtId="165" fontId="0" fillId="6" borderId="1" xfId="1" applyNumberFormat="1" applyFont="1" applyFill="1" applyBorder="1" applyProtection="1">
      <protection locked="0"/>
    </xf>
    <xf numFmtId="0" fontId="3" fillId="6" borderId="1" xfId="0" applyFont="1" applyFill="1" applyBorder="1" applyProtection="1">
      <protection locked="0"/>
    </xf>
    <xf numFmtId="165" fontId="0" fillId="6" borderId="1" xfId="0" applyNumberFormat="1" applyFill="1" applyBorder="1" applyProtection="1">
      <protection locked="0"/>
    </xf>
    <xf numFmtId="165" fontId="2" fillId="0" borderId="0" xfId="1" applyNumberFormat="1" applyFont="1" applyProtection="1">
      <protection locked="0"/>
    </xf>
    <xf numFmtId="165" fontId="0" fillId="4" borderId="1" xfId="0" applyNumberFormat="1" applyFill="1" applyBorder="1" applyProtection="1">
      <protection locked="0"/>
    </xf>
    <xf numFmtId="165" fontId="0" fillId="4" borderId="1" xfId="1" applyNumberFormat="1" applyFont="1" applyFill="1" applyBorder="1" applyProtection="1">
      <protection locked="0"/>
    </xf>
    <xf numFmtId="0" fontId="0" fillId="0" borderId="1" xfId="0" applyBorder="1" applyProtection="1">
      <protection locked="0"/>
    </xf>
    <xf numFmtId="165" fontId="0" fillId="0" borderId="1" xfId="1" applyNumberFormat="1" applyFont="1" applyBorder="1" applyProtection="1">
      <protection locked="0"/>
    </xf>
    <xf numFmtId="0" fontId="0" fillId="7" borderId="1" xfId="0" applyFill="1" applyBorder="1" applyProtection="1">
      <protection locked="0"/>
    </xf>
    <xf numFmtId="165" fontId="0" fillId="7" borderId="1" xfId="1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65" fontId="0" fillId="2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4" fillId="3" borderId="1" xfId="0" applyFont="1" applyFill="1" applyBorder="1" applyProtection="1">
      <protection locked="0"/>
    </xf>
    <xf numFmtId="0" fontId="0" fillId="5" borderId="1" xfId="0" applyFill="1" applyBorder="1" applyProtection="1">
      <protection locked="0"/>
    </xf>
    <xf numFmtId="165" fontId="2" fillId="5" borderId="1" xfId="1" applyNumberFormat="1" applyFont="1" applyFill="1" applyBorder="1" applyProtection="1">
      <protection locked="0"/>
    </xf>
    <xf numFmtId="165" fontId="0" fillId="5" borderId="1" xfId="1" applyNumberFormat="1" applyFont="1" applyFill="1" applyBorder="1" applyProtection="1">
      <protection locked="0"/>
    </xf>
    <xf numFmtId="0" fontId="7" fillId="0" borderId="0" xfId="0" applyFont="1" applyAlignment="1" applyProtection="1">
      <alignment horizontal="center" vertical="top" wrapText="1"/>
      <protection locked="0"/>
    </xf>
    <xf numFmtId="0" fontId="0" fillId="6" borderId="1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1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0" xfId="0" applyFont="1" applyAlignment="1">
      <alignment horizontal="center" vertical="center" wrapText="1"/>
    </xf>
    <xf numFmtId="0" fontId="0" fillId="4" borderId="1" xfId="0" applyFill="1" applyBorder="1"/>
    <xf numFmtId="0" fontId="0" fillId="6" borderId="1" xfId="0" applyFill="1" applyBorder="1"/>
    <xf numFmtId="165" fontId="0" fillId="0" borderId="0" xfId="1" applyNumberFormat="1" applyFont="1" applyProtection="1"/>
    <xf numFmtId="165" fontId="0" fillId="6" borderId="1" xfId="1" applyNumberFormat="1" applyFont="1" applyFill="1" applyBorder="1" applyProtection="1"/>
    <xf numFmtId="165" fontId="2" fillId="0" borderId="0" xfId="1" applyNumberFormat="1" applyFont="1" applyProtection="1"/>
    <xf numFmtId="165" fontId="0" fillId="6" borderId="1" xfId="0" applyNumberFormat="1" applyFill="1" applyBorder="1"/>
    <xf numFmtId="165" fontId="0" fillId="4" borderId="1" xfId="1" applyNumberFormat="1" applyFont="1" applyFill="1" applyBorder="1" applyProtection="1"/>
    <xf numFmtId="0" fontId="0" fillId="0" borderId="1" xfId="0" applyBorder="1"/>
    <xf numFmtId="165" fontId="0" fillId="0" borderId="1" xfId="0" applyNumberFormat="1" applyBorder="1"/>
    <xf numFmtId="165" fontId="0" fillId="0" borderId="1" xfId="1" applyNumberFormat="1" applyFont="1" applyBorder="1" applyProtection="1"/>
    <xf numFmtId="165" fontId="0" fillId="4" borderId="1" xfId="0" applyNumberFormat="1" applyFill="1" applyBorder="1"/>
    <xf numFmtId="0" fontId="0" fillId="7" borderId="1" xfId="0" applyFill="1" applyBorder="1"/>
    <xf numFmtId="165" fontId="0" fillId="7" borderId="1" xfId="1" applyNumberFormat="1" applyFont="1" applyFill="1" applyBorder="1" applyProtection="1"/>
    <xf numFmtId="0" fontId="0" fillId="2" borderId="1" xfId="0" applyFill="1" applyBorder="1"/>
    <xf numFmtId="165" fontId="0" fillId="2" borderId="1" xfId="1" applyNumberFormat="1" applyFont="1" applyFill="1" applyBorder="1" applyProtection="1"/>
    <xf numFmtId="0" fontId="1" fillId="3" borderId="1" xfId="0" applyFont="1" applyFill="1" applyBorder="1"/>
    <xf numFmtId="165" fontId="1" fillId="3" borderId="1" xfId="1" applyNumberFormat="1" applyFont="1" applyFill="1" applyBorder="1" applyProtection="1"/>
    <xf numFmtId="165" fontId="0" fillId="2" borderId="1" xfId="0" applyNumberFormat="1" applyFill="1" applyBorder="1"/>
    <xf numFmtId="0" fontId="0" fillId="5" borderId="1" xfId="0" applyFill="1" applyBorder="1"/>
    <xf numFmtId="165" fontId="2" fillId="5" borderId="1" xfId="1" applyNumberFormat="1" applyFont="1" applyFill="1" applyBorder="1" applyProtection="1"/>
    <xf numFmtId="165" fontId="0" fillId="5" borderId="1" xfId="1" applyNumberFormat="1" applyFont="1" applyFill="1" applyBorder="1" applyProtection="1"/>
    <xf numFmtId="0" fontId="5" fillId="0" borderId="0" xfId="0" applyFont="1" applyAlignment="1" applyProtection="1">
      <alignment horizontal="left" vertical="center" wrapText="1"/>
      <protection locked="0"/>
    </xf>
    <xf numFmtId="165" fontId="2" fillId="0" borderId="0" xfId="1" applyNumberFormat="1" applyFont="1" applyAlignment="1" applyProtection="1">
      <protection locked="0"/>
    </xf>
    <xf numFmtId="165" fontId="0" fillId="0" borderId="1" xfId="0" applyNumberFormat="1" applyBorder="1" applyProtection="1">
      <protection locked="0"/>
    </xf>
    <xf numFmtId="165" fontId="1" fillId="3" borderId="1" xfId="1" applyNumberFormat="1" applyFont="1" applyFill="1" applyBorder="1" applyProtection="1">
      <protection locked="0"/>
    </xf>
    <xf numFmtId="165" fontId="0" fillId="2" borderId="1" xfId="0" applyNumberFormat="1" applyFill="1" applyBorder="1" applyProtection="1">
      <protection locked="0"/>
    </xf>
    <xf numFmtId="0" fontId="9" fillId="0" borderId="0" xfId="2" applyFont="1" applyAlignment="1">
      <alignment horizontal="left" vertical="center" wrapText="1"/>
    </xf>
    <xf numFmtId="0" fontId="0" fillId="4" borderId="1" xfId="0" applyFill="1" applyBorder="1" applyAlignment="1" applyProtection="1">
      <alignment shrinkToFit="1"/>
      <protection locked="0"/>
    </xf>
    <xf numFmtId="165" fontId="0" fillId="6" borderId="1" xfId="1" applyNumberFormat="1" applyFont="1" applyFill="1" applyBorder="1" applyAlignment="1" applyProtection="1">
      <alignment shrinkToFit="1"/>
      <protection hidden="1"/>
    </xf>
    <xf numFmtId="165" fontId="0" fillId="0" borderId="0" xfId="1" applyNumberFormat="1" applyFont="1" applyAlignment="1" applyProtection="1">
      <alignment shrinkToFit="1"/>
      <protection hidden="1"/>
    </xf>
    <xf numFmtId="165" fontId="0" fillId="4" borderId="1" xfId="0" applyNumberFormat="1" applyFill="1" applyBorder="1" applyAlignment="1" applyProtection="1">
      <alignment shrinkToFit="1"/>
      <protection hidden="1"/>
    </xf>
    <xf numFmtId="165" fontId="0" fillId="0" borderId="1" xfId="0" applyNumberFormat="1" applyBorder="1" applyAlignment="1" applyProtection="1">
      <alignment shrinkToFit="1"/>
      <protection hidden="1"/>
    </xf>
    <xf numFmtId="165" fontId="0" fillId="7" borderId="1" xfId="1" applyNumberFormat="1" applyFont="1" applyFill="1" applyBorder="1" applyAlignment="1" applyProtection="1">
      <alignment shrinkToFit="1"/>
      <protection hidden="1"/>
    </xf>
    <xf numFmtId="165" fontId="0" fillId="2" borderId="1" xfId="1" applyNumberFormat="1" applyFont="1" applyFill="1" applyBorder="1" applyAlignment="1" applyProtection="1">
      <alignment shrinkToFit="1"/>
      <protection hidden="1"/>
    </xf>
    <xf numFmtId="165" fontId="0" fillId="0" borderId="1" xfId="1" applyNumberFormat="1" applyFont="1" applyBorder="1" applyAlignment="1" applyProtection="1">
      <alignment shrinkToFit="1"/>
      <protection hidden="1"/>
    </xf>
    <xf numFmtId="165" fontId="1" fillId="3" borderId="1" xfId="1" applyNumberFormat="1" applyFont="1" applyFill="1" applyBorder="1" applyAlignment="1" applyProtection="1">
      <alignment shrinkToFit="1"/>
      <protection hidden="1"/>
    </xf>
    <xf numFmtId="0" fontId="0" fillId="0" borderId="0" xfId="0" applyAlignment="1" applyProtection="1">
      <alignment shrinkToFit="1"/>
      <protection hidden="1"/>
    </xf>
    <xf numFmtId="165" fontId="2" fillId="5" borderId="1" xfId="1" applyNumberFormat="1" applyFont="1" applyFill="1" applyBorder="1" applyAlignment="1" applyProtection="1">
      <alignment shrinkToFit="1"/>
      <protection hidden="1"/>
    </xf>
    <xf numFmtId="165" fontId="0" fillId="5" borderId="1" xfId="1" applyNumberFormat="1" applyFont="1" applyFill="1" applyBorder="1" applyAlignment="1" applyProtection="1">
      <alignment shrinkToFit="1"/>
      <protection hidden="1"/>
    </xf>
    <xf numFmtId="0" fontId="0" fillId="4" borderId="1" xfId="0" applyFill="1" applyBorder="1" applyAlignment="1">
      <alignment shrinkToFit="1"/>
    </xf>
    <xf numFmtId="165" fontId="0" fillId="6" borderId="1" xfId="1" applyNumberFormat="1" applyFont="1" applyFill="1" applyBorder="1" applyAlignment="1" applyProtection="1">
      <alignment shrinkToFit="1"/>
    </xf>
    <xf numFmtId="165" fontId="0" fillId="0" borderId="0" xfId="1" applyNumberFormat="1" applyFont="1" applyAlignment="1" applyProtection="1">
      <alignment shrinkToFit="1"/>
    </xf>
    <xf numFmtId="165" fontId="0" fillId="6" borderId="1" xfId="0" applyNumberFormat="1" applyFill="1" applyBorder="1" applyAlignment="1">
      <alignment shrinkToFit="1"/>
    </xf>
    <xf numFmtId="165" fontId="2" fillId="0" borderId="0" xfId="1" applyNumberFormat="1" applyFont="1" applyAlignment="1" applyProtection="1">
      <alignment shrinkToFit="1"/>
    </xf>
    <xf numFmtId="165" fontId="0" fillId="4" borderId="1" xfId="0" applyNumberFormat="1" applyFill="1" applyBorder="1" applyAlignment="1">
      <alignment shrinkToFit="1"/>
    </xf>
    <xf numFmtId="165" fontId="0" fillId="0" borderId="1" xfId="0" applyNumberFormat="1" applyBorder="1" applyAlignment="1">
      <alignment shrinkToFit="1"/>
    </xf>
    <xf numFmtId="165" fontId="0" fillId="7" borderId="1" xfId="1" applyNumberFormat="1" applyFont="1" applyFill="1" applyBorder="1" applyAlignment="1" applyProtection="1">
      <alignment shrinkToFit="1"/>
    </xf>
    <xf numFmtId="165" fontId="0" fillId="2" borderId="1" xfId="1" applyNumberFormat="1" applyFont="1" applyFill="1" applyBorder="1" applyAlignment="1" applyProtection="1">
      <alignment shrinkToFit="1"/>
    </xf>
    <xf numFmtId="165" fontId="0" fillId="0" borderId="1" xfId="1" applyNumberFormat="1" applyFont="1" applyBorder="1" applyAlignment="1" applyProtection="1">
      <alignment shrinkToFit="1"/>
    </xf>
    <xf numFmtId="165" fontId="0" fillId="4" borderId="1" xfId="1" applyNumberFormat="1" applyFont="1" applyFill="1" applyBorder="1" applyAlignment="1" applyProtection="1">
      <alignment shrinkToFit="1"/>
    </xf>
    <xf numFmtId="165" fontId="1" fillId="3" borderId="1" xfId="1" applyNumberFormat="1" applyFont="1" applyFill="1" applyBorder="1" applyAlignment="1" applyProtection="1">
      <alignment shrinkToFit="1"/>
    </xf>
    <xf numFmtId="165" fontId="0" fillId="2" borderId="1" xfId="0" applyNumberFormat="1" applyFill="1" applyBorder="1" applyAlignment="1">
      <alignment shrinkToFit="1"/>
    </xf>
    <xf numFmtId="165" fontId="2" fillId="5" borderId="1" xfId="1" applyNumberFormat="1" applyFont="1" applyFill="1" applyBorder="1" applyAlignment="1" applyProtection="1">
      <alignment shrinkToFit="1"/>
    </xf>
    <xf numFmtId="165" fontId="0" fillId="5" borderId="1" xfId="1" applyNumberFormat="1" applyFont="1" applyFill="1" applyBorder="1" applyAlignment="1" applyProtection="1">
      <alignment shrinkToFit="1"/>
    </xf>
  </cellXfs>
  <cellStyles count="3">
    <cellStyle name="Čárka" xfId="1" builtinId="3"/>
    <cellStyle name="Hypertextový odkaz" xfId="2" builtinId="8"/>
    <cellStyle name="Normální" xfId="0" builtinId="0"/>
  </cellStyles>
  <dxfs count="49">
    <dxf>
      <alignment horizontal="general"/>
    </dxf>
    <dxf>
      <font>
        <b/>
      </font>
    </dxf>
    <dxf>
      <alignment horizontal="center"/>
    </dxf>
    <dxf>
      <font>
        <b/>
      </font>
    </dxf>
    <dxf>
      <font>
        <color auto="1"/>
      </font>
    </dxf>
    <dxf>
      <font>
        <sz val="12"/>
      </font>
    </dxf>
    <dxf>
      <numFmt numFmtId="3" formatCode="#,##0"/>
    </dxf>
    <dxf>
      <alignment horizontal="right"/>
    </dxf>
    <dxf>
      <alignment horizontal="general"/>
    </dxf>
    <dxf>
      <font>
        <b/>
      </font>
    </dxf>
    <dxf>
      <alignment horizontal="center"/>
    </dxf>
    <dxf>
      <font>
        <b/>
      </font>
    </dxf>
    <dxf>
      <font>
        <color auto="1"/>
      </font>
    </dxf>
    <dxf>
      <font>
        <sz val="12"/>
      </font>
    </dxf>
    <dxf>
      <numFmt numFmtId="3" formatCode="#,##0"/>
    </dxf>
    <dxf>
      <alignment horizontal="right"/>
    </dxf>
    <dxf>
      <alignment horizontal="general"/>
    </dxf>
    <dxf>
      <font>
        <b/>
      </font>
    </dxf>
    <dxf>
      <alignment horizontal="center"/>
    </dxf>
    <dxf>
      <font>
        <b/>
      </font>
    </dxf>
    <dxf>
      <font>
        <color auto="1"/>
      </font>
    </dxf>
    <dxf>
      <font>
        <sz val="12"/>
      </font>
    </dxf>
    <dxf>
      <numFmt numFmtId="3" formatCode="#,##0"/>
    </dxf>
    <dxf>
      <alignment horizontal="right"/>
    </dxf>
    <dxf>
      <alignment horizontal="general"/>
    </dxf>
    <dxf>
      <font>
        <b/>
      </font>
    </dxf>
    <dxf>
      <alignment horizontal="center"/>
    </dxf>
    <dxf>
      <font>
        <b/>
      </font>
    </dxf>
    <dxf>
      <font>
        <color auto="1"/>
      </font>
    </dxf>
    <dxf>
      <font>
        <sz val="12"/>
      </font>
    </dxf>
    <dxf>
      <numFmt numFmtId="3" formatCode="#,##0"/>
    </dxf>
    <dxf>
      <alignment horizontal="right"/>
    </dxf>
    <dxf>
      <numFmt numFmtId="4" formatCode="#,##0.00"/>
    </dxf>
    <dxf>
      <numFmt numFmtId="4" formatCode="#,##0.00"/>
    </dxf>
    <dxf>
      <numFmt numFmtId="166" formatCode="dd\.mm\.yyyy"/>
    </dxf>
    <dxf>
      <font>
        <strike val="0"/>
        <color rgb="FFFF0000"/>
      </font>
      <fill>
        <patternFill patternType="solid">
          <fgColor auto="1"/>
        </patternFill>
      </fill>
      <border>
        <bottom style="thin">
          <color rgb="FFFF0000"/>
        </bottom>
      </border>
    </dxf>
    <dxf>
      <alignment horizontal="right"/>
    </dxf>
    <dxf>
      <numFmt numFmtId="3" formatCode="#,##0"/>
    </dxf>
    <dxf>
      <font>
        <sz val="12"/>
      </font>
    </dxf>
    <dxf>
      <font>
        <color auto="1"/>
      </font>
    </dxf>
    <dxf>
      <font>
        <b/>
      </font>
    </dxf>
    <dxf>
      <alignment horizontal="center"/>
    </dxf>
    <dxf>
      <font>
        <b/>
      </font>
    </dxf>
    <dxf>
      <alignment horizontal="general"/>
    </dxf>
    <dxf>
      <font>
        <strike val="0"/>
        <color rgb="FFC00000"/>
      </font>
      <fill>
        <patternFill patternType="mediumGray">
          <fgColor rgb="FF009686"/>
          <bgColor auto="1"/>
        </patternFill>
      </fill>
      <border>
        <bottom style="thin">
          <color rgb="FFFF0000"/>
        </bottom>
      </border>
    </dxf>
    <dxf>
      <font>
        <strike val="0"/>
        <color rgb="FFC00000"/>
      </font>
      <fill>
        <patternFill patternType="mediumGray">
          <fgColor rgb="FF009686"/>
          <bgColor auto="1"/>
        </patternFill>
      </fill>
      <border>
        <bottom style="thin">
          <color rgb="FFFF0000"/>
        </bottom>
      </border>
    </dxf>
    <dxf>
      <font>
        <strike val="0"/>
        <color rgb="FFFF0000"/>
      </font>
      <fill>
        <patternFill patternType="solid">
          <fgColor auto="1"/>
        </patternFill>
      </fill>
      <border>
        <bottom style="thin">
          <color rgb="FFFF0000"/>
        </bottom>
      </border>
    </dxf>
    <dxf>
      <border>
        <left/>
        <right/>
        <top/>
        <bottom/>
      </border>
    </dxf>
    <dxf>
      <font>
        <b/>
        <i val="0"/>
      </font>
    </dxf>
  </dxfs>
  <tableStyles count="4" defaultTableStyle="TableStyleMedium2" defaultPivotStyle="PivotStyleLight16">
    <tableStyle name="Styl kontingenční tabulky 1" table="0" count="1" xr9:uid="{60E9E31E-8F90-43E3-AE80-CD4B5F8DCD9D}">
      <tableStyleElement type="firstColumnStripe" size="5"/>
    </tableStyle>
    <tableStyle name="Styl kontingenční tabulky 2" table="0" count="1" xr9:uid="{B812A95F-BBDC-48F2-85ED-53C9C14FF6B7}">
      <tableStyleElement type="firstColumn" dxfId="48"/>
    </tableStyle>
    <tableStyle name="Styl průřezu 1" pivot="0" table="0" count="0" xr9:uid="{246AEC36-7409-452C-82EB-09DB8F95BF6F}"/>
    <tableStyle name="Styl průřezu 2" pivot="0" table="0" count="1" xr9:uid="{C0CC4575-D295-4467-8AFB-9DE5FA343792}">
      <tableStyleElement type="wholeTable" dxfId="4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23B3A2"/>
      <rgbColor rgb="00D1D1D1"/>
      <rgbColor rgb="00FFFFFF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00"/>
      <color rgb="FFFFFFFF"/>
      <color rgb="FFD1D1D1"/>
      <color rgb="FFFF9999"/>
      <color rgb="FFC3D69B"/>
      <color rgb="FF23B0A0"/>
      <color rgb="FF66FFFF"/>
      <color rgb="FFC00000"/>
      <color rgb="FF4F81BD"/>
      <color rgb="FF009686"/>
    </mruColors>
  </colors>
  <extLst>
    <ext xmlns:x14="http://schemas.microsoft.com/office/spreadsheetml/2009/9/main" uri="{EB79DEF2-80B8-43e5-95BD-54CBDDF9020C}">
      <x14:slicerStyles defaultSlicerStyle="SlicerStyleLight1">
        <x14:slicerStyle name="Styl průřezu 1"/>
        <x14:slicerStyle name="Styl průřezu 2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DataProGraf!$B$3</c:f>
          <c:strCache>
            <c:ptCount val="1"/>
            <c:pt idx="0">
              <c:v>Občerstvení - kuchyňka, kantýna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Plán</c:v>
          </c:tx>
          <c:spPr>
            <a:solidFill>
              <a:srgbClr val="D1D1D1">
                <a:alpha val="70000"/>
              </a:srgb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val>
            <c:numRef>
              <c:f>DataProGraf!$F$3:$Q$3</c:f>
              <c:numCache>
                <c:formatCode>_-* #\ ##0_-;\-* #\ ##0_-;_-* "-"??_-;_-@_-</c:formatCode>
                <c:ptCount val="12"/>
                <c:pt idx="0">
                  <c:v>9583</c:v>
                </c:pt>
                <c:pt idx="1">
                  <c:v>9583</c:v>
                </c:pt>
                <c:pt idx="2">
                  <c:v>9583</c:v>
                </c:pt>
                <c:pt idx="3">
                  <c:v>9583</c:v>
                </c:pt>
                <c:pt idx="4">
                  <c:v>9583</c:v>
                </c:pt>
                <c:pt idx="5">
                  <c:v>9583</c:v>
                </c:pt>
                <c:pt idx="6">
                  <c:v>9583</c:v>
                </c:pt>
                <c:pt idx="7">
                  <c:v>9583</c:v>
                </c:pt>
                <c:pt idx="8">
                  <c:v>9583</c:v>
                </c:pt>
                <c:pt idx="9">
                  <c:v>9583</c:v>
                </c:pt>
                <c:pt idx="10">
                  <c:v>9583</c:v>
                </c:pt>
                <c:pt idx="11">
                  <c:v>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-959281056"/>
        <c:axId val="-959294112"/>
      </c:barChart>
      <c:barChart>
        <c:barDir val="col"/>
        <c:grouping val="clustered"/>
        <c:varyColors val="0"/>
        <c:ser>
          <c:idx val="1"/>
          <c:order val="1"/>
          <c:tx>
            <c:v>Skutečnost</c:v>
          </c:tx>
          <c:spPr>
            <a:solidFill>
              <a:srgbClr val="23B3A2">
                <a:alpha val="70000"/>
              </a:srgbClr>
            </a:solidFill>
            <a:ln w="6350">
              <a:solidFill>
                <a:schemeClr val="bg1">
                  <a:alpha val="50000"/>
                </a:schemeClr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val>
            <c:numRef>
              <c:f>DataProGraf!$S$3:$AD$3</c:f>
              <c:numCache>
                <c:formatCode>_-* #\ ##0_-;\-* #\ ##0_-;_-* "-"??_-;_-@_-</c:formatCode>
                <c:ptCount val="12"/>
                <c:pt idx="0">
                  <c:v>388</c:v>
                </c:pt>
                <c:pt idx="1">
                  <c:v>765</c:v>
                </c:pt>
                <c:pt idx="2">
                  <c:v>16961</c:v>
                </c:pt>
                <c:pt idx="3">
                  <c:v>17751</c:v>
                </c:pt>
                <c:pt idx="4">
                  <c:v>85</c:v>
                </c:pt>
                <c:pt idx="5">
                  <c:v>18262</c:v>
                </c:pt>
                <c:pt idx="6">
                  <c:v>6344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288169936"/>
        <c:axId val="261686352"/>
      </c:barChart>
      <c:lineChart>
        <c:grouping val="standard"/>
        <c:varyColors val="0"/>
        <c:ser>
          <c:idx val="2"/>
          <c:order val="2"/>
          <c:tx>
            <c:v>Výsledek</c:v>
          </c:tx>
          <c:spPr>
            <a:ln w="38100" cap="rnd">
              <a:solidFill>
                <a:srgbClr val="23B3A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D1D1D1"/>
              </a:solidFill>
              <a:ln w="25400">
                <a:solidFill>
                  <a:srgbClr val="23B3A2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9,2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184-44AF-A84B-FAF3F245D9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8,8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184-44AF-A84B-FAF3F245D9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-7,4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184-44AF-A84B-FAF3F245D9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-8,2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184-44AF-A84B-FAF3F245D9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9,5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184-44AF-A84B-FAF3F245D93D}"/>
                </c:ext>
              </c:extLst>
            </c:dLbl>
            <c:dLbl>
              <c:idx val="5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-8,7 tis.</a:t>
                    </a:r>
                  </a:p>
                </c:rich>
              </c:tx>
              <c:spPr>
                <a:solidFill>
                  <a:sysClr val="windowText" lastClr="000000">
                    <a:lumMod val="50000"/>
                    <a:lumOff val="50000"/>
                    <a:alpha val="50000"/>
                  </a:sys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8-E184-44AF-A84B-FAF3F245D9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3,2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184-44AF-A84B-FAF3F245D9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9,6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184-44AF-A84B-FAF3F245D9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184-44AF-A84B-FAF3F245D9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9,6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184-44AF-A84B-FAF3F245D9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9,6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184-44AF-A84B-FAF3F245D9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9,6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184-44AF-A84B-FAF3F245D93D}"/>
                </c:ext>
              </c:extLst>
            </c:dLbl>
            <c:spPr>
              <a:solidFill>
                <a:sysClr val="windowText" lastClr="000000">
                  <a:lumMod val="50000"/>
                  <a:lumOff val="50000"/>
                  <a:alpha val="5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DataProGraf!$F$1:$Q$2</c:f>
              <c:multiLvlStrCache>
                <c:ptCount val="1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</c:lvl>
                <c:lvl>
                  <c:pt idx="0">
                    <c:v>2024</c:v>
                  </c:pt>
                  <c:pt idx="1">
                    <c:v>2024</c:v>
                  </c:pt>
                  <c:pt idx="2">
                    <c:v>2024</c:v>
                  </c:pt>
                  <c:pt idx="3">
                    <c:v>2024</c:v>
                  </c:pt>
                  <c:pt idx="4">
                    <c:v>2024</c:v>
                  </c:pt>
                  <c:pt idx="5">
                    <c:v>2024</c:v>
                  </c:pt>
                  <c:pt idx="6">
                    <c:v>2024</c:v>
                  </c:pt>
                  <c:pt idx="7">
                    <c:v>2024</c:v>
                  </c:pt>
                  <c:pt idx="8">
                    <c:v>2024</c:v>
                  </c:pt>
                  <c:pt idx="9">
                    <c:v>2025</c:v>
                  </c:pt>
                  <c:pt idx="10">
                    <c:v>2025</c:v>
                  </c:pt>
                  <c:pt idx="11">
                    <c:v>2025</c:v>
                  </c:pt>
                </c:lvl>
              </c:multiLvlStrCache>
            </c:multiLvlStrRef>
          </c:cat>
          <c:val>
            <c:numRef>
              <c:f>DataProGraf!$AF$3:$AQ$3</c:f>
              <c:numCache>
                <c:formatCode>_-* #\ ##0_-;\-* #\ ##0_-;_-* "-"??_-;_-@_-</c:formatCode>
                <c:ptCount val="12"/>
                <c:pt idx="0">
                  <c:v>9195</c:v>
                </c:pt>
                <c:pt idx="1">
                  <c:v>8818</c:v>
                </c:pt>
                <c:pt idx="2">
                  <c:v>-7378</c:v>
                </c:pt>
                <c:pt idx="3">
                  <c:v>-8168</c:v>
                </c:pt>
                <c:pt idx="4">
                  <c:v>9498</c:v>
                </c:pt>
                <c:pt idx="5">
                  <c:v>-8679</c:v>
                </c:pt>
                <c:pt idx="6">
                  <c:v>3239</c:v>
                </c:pt>
                <c:pt idx="7">
                  <c:v>9583</c:v>
                </c:pt>
                <c:pt idx="8">
                  <c:v>9583</c:v>
                </c:pt>
                <c:pt idx="9">
                  <c:v>9583</c:v>
                </c:pt>
                <c:pt idx="10">
                  <c:v>9583</c:v>
                </c:pt>
                <c:pt idx="11">
                  <c:v>9587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9281056"/>
        <c:axId val="-959294112"/>
      </c:lineChart>
      <c:catAx>
        <c:axId val="-959281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6350"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cs-CZ"/>
          </a:p>
        </c:txPr>
        <c:crossAx val="-959294112"/>
        <c:crosses val="autoZero"/>
        <c:auto val="1"/>
        <c:lblAlgn val="ctr"/>
        <c:lblOffset val="100"/>
        <c:tickLblSkip val="1"/>
        <c:tickMarkSkip val="3"/>
        <c:noMultiLvlLbl val="1"/>
      </c:catAx>
      <c:valAx>
        <c:axId val="-959294112"/>
        <c:scaling>
          <c:orientation val="minMax"/>
        </c:scaling>
        <c:delete val="1"/>
        <c:axPos val="l"/>
        <c:numFmt formatCode="_-* #\ ##0_-;\-* #\ ##0_-;_-* &quot;-&quot;??_-;_-@_-" sourceLinked="1"/>
        <c:majorTickMark val="out"/>
        <c:minorTickMark val="none"/>
        <c:tickLblPos val="nextTo"/>
        <c:crossAx val="-959281056"/>
        <c:crosses val="autoZero"/>
        <c:crossBetween val="between"/>
      </c:valAx>
      <c:valAx>
        <c:axId val="261686352"/>
        <c:scaling>
          <c:orientation val="minMax"/>
        </c:scaling>
        <c:delete val="1"/>
        <c:axPos val="r"/>
        <c:numFmt formatCode="_-* #\ ##0_-;\-* #\ ##0_-;_-* &quot;-&quot;??_-;_-@_-" sourceLinked="1"/>
        <c:majorTickMark val="out"/>
        <c:minorTickMark val="none"/>
        <c:tickLblPos val="nextTo"/>
        <c:crossAx val="288169936"/>
        <c:crosses val="max"/>
        <c:crossBetween val="between"/>
      </c:valAx>
      <c:catAx>
        <c:axId val="28816993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68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024132224340599E-2"/>
          <c:y val="3.6775298166943145E-2"/>
          <c:w val="9.9647470790782317E-2"/>
          <c:h val="0.174057702490955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DataProGraf!$A$4</c:f>
          <c:strCache>
            <c:ptCount val="1"/>
            <c:pt idx="0">
              <c:v>Občerstvení - kuchyňka, kantýna - kumulativně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Plán</c:v>
          </c:tx>
          <c:spPr>
            <a:solidFill>
              <a:srgbClr val="D1D1D1">
                <a:alpha val="70000"/>
              </a:srgbClr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val>
            <c:numRef>
              <c:f>DataProGraf!$F$4:$Q$4</c:f>
              <c:numCache>
                <c:formatCode>_-* #\ ##0_-;\-* #\ ##0_-;_-* "-"??_-;_-@_-</c:formatCode>
                <c:ptCount val="12"/>
                <c:pt idx="0">
                  <c:v>9583</c:v>
                </c:pt>
                <c:pt idx="1">
                  <c:v>19166</c:v>
                </c:pt>
                <c:pt idx="2">
                  <c:v>28749</c:v>
                </c:pt>
                <c:pt idx="3">
                  <c:v>38332</c:v>
                </c:pt>
                <c:pt idx="4">
                  <c:v>47915</c:v>
                </c:pt>
                <c:pt idx="5">
                  <c:v>57498</c:v>
                </c:pt>
                <c:pt idx="6">
                  <c:v>67081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-959281056"/>
        <c:axId val="-959294112"/>
      </c:barChart>
      <c:barChart>
        <c:barDir val="col"/>
        <c:grouping val="clustered"/>
        <c:varyColors val="0"/>
        <c:ser>
          <c:idx val="1"/>
          <c:order val="1"/>
          <c:tx>
            <c:v>Skutečnost</c:v>
          </c:tx>
          <c:spPr>
            <a:solidFill>
              <a:srgbClr val="23B3A2">
                <a:alpha val="70000"/>
              </a:srgbClr>
            </a:solidFill>
            <a:ln w="6350">
              <a:solidFill>
                <a:schemeClr val="bg1">
                  <a:alpha val="50000"/>
                </a:schemeClr>
              </a:solidFill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val>
            <c:numRef>
              <c:f>DataProGraf!$S$4:$AD$4</c:f>
              <c:numCache>
                <c:formatCode>_-* #\ ##0_-;\-* #\ ##0_-;_-* "-"??_-;_-@_-</c:formatCode>
                <c:ptCount val="12"/>
                <c:pt idx="0">
                  <c:v>388</c:v>
                </c:pt>
                <c:pt idx="1">
                  <c:v>1153</c:v>
                </c:pt>
                <c:pt idx="2">
                  <c:v>18114</c:v>
                </c:pt>
                <c:pt idx="3">
                  <c:v>35865</c:v>
                </c:pt>
                <c:pt idx="4">
                  <c:v>35950</c:v>
                </c:pt>
                <c:pt idx="5">
                  <c:v>54212</c:v>
                </c:pt>
                <c:pt idx="6">
                  <c:v>60112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overlap val="100"/>
        <c:axId val="288169936"/>
        <c:axId val="261686352"/>
      </c:barChart>
      <c:lineChart>
        <c:grouping val="standard"/>
        <c:varyColors val="0"/>
        <c:ser>
          <c:idx val="2"/>
          <c:order val="2"/>
          <c:tx>
            <c:v>Výsledek</c:v>
          </c:tx>
          <c:spPr>
            <a:ln w="38100" cap="rnd">
              <a:solidFill>
                <a:srgbClr val="23B3A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rgbClr val="D1D1D1"/>
              </a:solidFill>
              <a:ln w="25400">
                <a:solidFill>
                  <a:srgbClr val="23B3A2"/>
                </a:solidFill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9,2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E184-44AF-A84B-FAF3F245D9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18,0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184-44AF-A84B-FAF3F245D9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10,6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E184-44AF-A84B-FAF3F245D9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2,5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184-44AF-A84B-FAF3F245D9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12,0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E184-44AF-A84B-FAF3F245D93D}"/>
                </c:ext>
              </c:extLst>
            </c:dLbl>
            <c:dLbl>
              <c:idx val="5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3,3 tis.</a:t>
                    </a:r>
                  </a:p>
                </c:rich>
              </c:tx>
              <c:spPr>
                <a:solidFill>
                  <a:sysClr val="windowText" lastClr="000000">
                    <a:lumMod val="50000"/>
                    <a:lumOff val="50000"/>
                    <a:alpha val="50000"/>
                  </a:sys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cs-CZ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accentCallout2">
                      <a:avLst/>
                    </a:prstGeom>
                    <a:noFill/>
                    <a:ln>
                      <a:noFill/>
                    </a:ln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8-E184-44AF-A84B-FAF3F245D9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7,0 tis.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E184-44AF-A84B-FAF3F245D9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cs-CZ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E184-44AF-A84B-FAF3F245D9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cs-CZ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E184-44AF-A84B-FAF3F245D9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cs-CZ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E184-44AF-A84B-FAF3F245D9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cs-CZ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E184-44AF-A84B-FAF3F245D9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cs-CZ"/>
                      <a:t>0</a:t>
                    </a:r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E184-44AF-A84B-FAF3F245D93D}"/>
                </c:ext>
              </c:extLst>
            </c:dLbl>
            <c:spPr>
              <a:solidFill>
                <a:sysClr val="windowText" lastClr="000000">
                  <a:lumMod val="50000"/>
                  <a:lumOff val="50000"/>
                  <a:alpha val="50000"/>
                </a:sys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cs-CZ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DataProGraf!$F$1:$Q$2</c:f>
              <c:multiLvlStrCache>
                <c:ptCount val="1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</c:lvl>
                <c:lvl>
                  <c:pt idx="0">
                    <c:v>2024</c:v>
                  </c:pt>
                  <c:pt idx="1">
                    <c:v>2024</c:v>
                  </c:pt>
                  <c:pt idx="2">
                    <c:v>2024</c:v>
                  </c:pt>
                  <c:pt idx="3">
                    <c:v>2024</c:v>
                  </c:pt>
                  <c:pt idx="4">
                    <c:v>2024</c:v>
                  </c:pt>
                  <c:pt idx="5">
                    <c:v>2024</c:v>
                  </c:pt>
                  <c:pt idx="6">
                    <c:v>2024</c:v>
                  </c:pt>
                  <c:pt idx="7">
                    <c:v>2024</c:v>
                  </c:pt>
                  <c:pt idx="8">
                    <c:v>2024</c:v>
                  </c:pt>
                  <c:pt idx="9">
                    <c:v>2025</c:v>
                  </c:pt>
                  <c:pt idx="10">
                    <c:v>2025</c:v>
                  </c:pt>
                  <c:pt idx="11">
                    <c:v>2025</c:v>
                  </c:pt>
                </c:lvl>
              </c:multiLvlStrCache>
            </c:multiLvlStrRef>
          </c:cat>
          <c:val>
            <c:numRef>
              <c:f>DataProGraf!$AF$4:$AQ$4</c:f>
              <c:numCache>
                <c:formatCode>_-* #\ ##0_-;\-* #\ ##0_-;_-* "-"??_-;_-@_-</c:formatCode>
                <c:ptCount val="12"/>
                <c:pt idx="0">
                  <c:v>9195</c:v>
                </c:pt>
                <c:pt idx="1">
                  <c:v>18013</c:v>
                </c:pt>
                <c:pt idx="2">
                  <c:v>10635</c:v>
                </c:pt>
                <c:pt idx="3">
                  <c:v>2467</c:v>
                </c:pt>
                <c:pt idx="4">
                  <c:v>11965</c:v>
                </c:pt>
                <c:pt idx="5">
                  <c:v>3286</c:v>
                </c:pt>
                <c:pt idx="6">
                  <c:v>6969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184-44AF-A84B-FAF3F245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9281056"/>
        <c:axId val="-959294112"/>
      </c:lineChart>
      <c:catAx>
        <c:axId val="-9592810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6350"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cs-CZ"/>
          </a:p>
        </c:txPr>
        <c:crossAx val="-959294112"/>
        <c:crosses val="autoZero"/>
        <c:auto val="1"/>
        <c:lblAlgn val="ctr"/>
        <c:lblOffset val="100"/>
        <c:tickLblSkip val="1"/>
        <c:tickMarkSkip val="3"/>
        <c:noMultiLvlLbl val="1"/>
      </c:catAx>
      <c:valAx>
        <c:axId val="-959294112"/>
        <c:scaling>
          <c:orientation val="minMax"/>
        </c:scaling>
        <c:delete val="1"/>
        <c:axPos val="l"/>
        <c:numFmt formatCode="_-* #\ ##0_-;\-* #\ ##0_-;_-* &quot;-&quot;??_-;_-@_-" sourceLinked="1"/>
        <c:majorTickMark val="out"/>
        <c:minorTickMark val="none"/>
        <c:tickLblPos val="nextTo"/>
        <c:crossAx val="-959281056"/>
        <c:crosses val="autoZero"/>
        <c:crossBetween val="between"/>
      </c:valAx>
      <c:valAx>
        <c:axId val="261686352"/>
        <c:scaling>
          <c:orientation val="minMax"/>
        </c:scaling>
        <c:delete val="1"/>
        <c:axPos val="r"/>
        <c:numFmt formatCode="_-* #\ ##0_-;\-* #\ ##0_-;_-* &quot;-&quot;??_-;_-@_-" sourceLinked="1"/>
        <c:majorTickMark val="out"/>
        <c:minorTickMark val="none"/>
        <c:tickLblPos val="nextTo"/>
        <c:crossAx val="288169936"/>
        <c:crosses val="max"/>
        <c:crossBetween val="between"/>
      </c:valAx>
      <c:catAx>
        <c:axId val="288169936"/>
        <c:scaling>
          <c:orientation val="minMax"/>
        </c:scaling>
        <c:delete val="1"/>
        <c:axPos val="b"/>
        <c:majorTickMark val="out"/>
        <c:minorTickMark val="none"/>
        <c:tickLblPos val="nextTo"/>
        <c:crossAx val="261686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024132224340599E-2"/>
          <c:y val="3.6775298166943145E-2"/>
          <c:w val="9.9718726519803166E-2"/>
          <c:h val="0.173932497822942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image" Target="../media/image7.png"/><Relationship Id="rId18" Type="http://schemas.openxmlformats.org/officeDocument/2006/relationships/image" Target="../media/image12.svg"/><Relationship Id="rId3" Type="http://schemas.openxmlformats.org/officeDocument/2006/relationships/image" Target="../media/image21.png"/><Relationship Id="rId21" Type="http://schemas.openxmlformats.org/officeDocument/2006/relationships/image" Target="../media/image15.png"/><Relationship Id="rId7" Type="http://schemas.openxmlformats.org/officeDocument/2006/relationships/image" Target="../media/image1.png"/><Relationship Id="rId12" Type="http://schemas.openxmlformats.org/officeDocument/2006/relationships/image" Target="../media/image6.svg"/><Relationship Id="rId17" Type="http://schemas.openxmlformats.org/officeDocument/2006/relationships/image" Target="../media/image11.png"/><Relationship Id="rId2" Type="http://schemas.openxmlformats.org/officeDocument/2006/relationships/image" Target="../media/image20.svg"/><Relationship Id="rId16" Type="http://schemas.openxmlformats.org/officeDocument/2006/relationships/image" Target="../media/image10.svg"/><Relationship Id="rId20" Type="http://schemas.openxmlformats.org/officeDocument/2006/relationships/image" Target="../media/image26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11" Type="http://schemas.openxmlformats.org/officeDocument/2006/relationships/image" Target="../media/image5.png"/><Relationship Id="rId24" Type="http://schemas.openxmlformats.org/officeDocument/2006/relationships/image" Target="../media/image18.svg"/><Relationship Id="rId5" Type="http://schemas.openxmlformats.org/officeDocument/2006/relationships/image" Target="../media/image23.png"/><Relationship Id="rId15" Type="http://schemas.openxmlformats.org/officeDocument/2006/relationships/image" Target="../media/image9.png"/><Relationship Id="rId23" Type="http://schemas.openxmlformats.org/officeDocument/2006/relationships/image" Target="../media/image17.png"/><Relationship Id="rId10" Type="http://schemas.openxmlformats.org/officeDocument/2006/relationships/image" Target="../media/image4.svg"/><Relationship Id="rId19" Type="http://schemas.openxmlformats.org/officeDocument/2006/relationships/image" Target="../media/image25.png"/><Relationship Id="rId4" Type="http://schemas.openxmlformats.org/officeDocument/2006/relationships/image" Target="../media/image22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16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svg"/><Relationship Id="rId3" Type="http://schemas.openxmlformats.org/officeDocument/2006/relationships/image" Target="../media/image9.png"/><Relationship Id="rId7" Type="http://schemas.openxmlformats.org/officeDocument/2006/relationships/image" Target="../media/image25.png"/><Relationship Id="rId12" Type="http://schemas.openxmlformats.org/officeDocument/2006/relationships/image" Target="../media/image18.svg"/><Relationship Id="rId2" Type="http://schemas.microsoft.com/office/2007/relationships/hdphoto" Target="../media/hdphoto1.wdp"/><Relationship Id="rId1" Type="http://schemas.openxmlformats.org/officeDocument/2006/relationships/image" Target="../media/image27.png"/><Relationship Id="rId6" Type="http://schemas.openxmlformats.org/officeDocument/2006/relationships/image" Target="../media/image12.sv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0" Type="http://schemas.openxmlformats.org/officeDocument/2006/relationships/image" Target="../media/image29.svg"/><Relationship Id="rId4" Type="http://schemas.openxmlformats.org/officeDocument/2006/relationships/image" Target="../media/image10.svg"/><Relationship Id="rId9" Type="http://schemas.openxmlformats.org/officeDocument/2006/relationships/image" Target="../media/image2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svg"/><Relationship Id="rId13" Type="http://schemas.openxmlformats.org/officeDocument/2006/relationships/image" Target="../media/image42.png"/><Relationship Id="rId3" Type="http://schemas.openxmlformats.org/officeDocument/2006/relationships/image" Target="../media/image32.png"/><Relationship Id="rId7" Type="http://schemas.openxmlformats.org/officeDocument/2006/relationships/image" Target="../media/image36.png"/><Relationship Id="rId12" Type="http://schemas.openxmlformats.org/officeDocument/2006/relationships/image" Target="../media/image41.svg"/><Relationship Id="rId2" Type="http://schemas.openxmlformats.org/officeDocument/2006/relationships/image" Target="../media/image31.svg"/><Relationship Id="rId1" Type="http://schemas.openxmlformats.org/officeDocument/2006/relationships/image" Target="../media/image30.png"/><Relationship Id="rId6" Type="http://schemas.openxmlformats.org/officeDocument/2006/relationships/image" Target="../media/image35.svg"/><Relationship Id="rId11" Type="http://schemas.openxmlformats.org/officeDocument/2006/relationships/image" Target="../media/image40.png"/><Relationship Id="rId5" Type="http://schemas.openxmlformats.org/officeDocument/2006/relationships/image" Target="../media/image34.png"/><Relationship Id="rId10" Type="http://schemas.openxmlformats.org/officeDocument/2006/relationships/image" Target="../media/image39.svg"/><Relationship Id="rId4" Type="http://schemas.openxmlformats.org/officeDocument/2006/relationships/image" Target="../media/image33.svg"/><Relationship Id="rId9" Type="http://schemas.openxmlformats.org/officeDocument/2006/relationships/image" Target="../media/image38.png"/><Relationship Id="rId14" Type="http://schemas.openxmlformats.org/officeDocument/2006/relationships/image" Target="../media/image4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49238</xdr:colOff>
      <xdr:row>0</xdr:row>
      <xdr:rowOff>133641</xdr:rowOff>
    </xdr:from>
    <xdr:to>
      <xdr:col>4</xdr:col>
      <xdr:colOff>409238</xdr:colOff>
      <xdr:row>2</xdr:row>
      <xdr:rowOff>99746</xdr:rowOff>
    </xdr:to>
    <xdr:pic macro="[0]!PrepnoutSkrytiSloupcuPlan">
      <xdr:nvPicPr>
        <xdr:cNvPr id="62" name="SbalitPlan" descr="Šipky ve tvaru V se souvislou výplní">
          <a:extLst>
            <a:ext uri="{FF2B5EF4-FFF2-40B4-BE49-F238E27FC236}">
              <a16:creationId xmlns:a16="http://schemas.microsoft.com/office/drawing/2014/main" id="{9372B5F4-0764-41A5-BAF7-0355EF24B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6666" y="13364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417287</xdr:colOff>
      <xdr:row>0</xdr:row>
      <xdr:rowOff>133641</xdr:rowOff>
    </xdr:from>
    <xdr:to>
      <xdr:col>4</xdr:col>
      <xdr:colOff>777287</xdr:colOff>
      <xdr:row>2</xdr:row>
      <xdr:rowOff>99746</xdr:rowOff>
    </xdr:to>
    <xdr:pic macro="[0]!PrepnoutSkrytiSloupcuPlan">
      <xdr:nvPicPr>
        <xdr:cNvPr id="63" name="RozbalitPlan" descr="Šipky ve tvaru V se souvislou výplní">
          <a:extLst>
            <a:ext uri="{FF2B5EF4-FFF2-40B4-BE49-F238E27FC236}">
              <a16:creationId xmlns:a16="http://schemas.microsoft.com/office/drawing/2014/main" id="{9485D2C8-58AC-4825-9283-FBA127D1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54715" y="13364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32812</xdr:colOff>
      <xdr:row>0</xdr:row>
      <xdr:rowOff>133641</xdr:rowOff>
    </xdr:from>
    <xdr:to>
      <xdr:col>17</xdr:col>
      <xdr:colOff>392812</xdr:colOff>
      <xdr:row>2</xdr:row>
      <xdr:rowOff>99746</xdr:rowOff>
    </xdr:to>
    <xdr:pic macro="[0]!PrepnoutSkrytiSloupcuSkutecnost">
      <xdr:nvPicPr>
        <xdr:cNvPr id="64" name="SbalitSkutecnost" descr="Šipky ve tvaru V se souvislou výplní">
          <a:extLst>
            <a:ext uri="{FF2B5EF4-FFF2-40B4-BE49-F238E27FC236}">
              <a16:creationId xmlns:a16="http://schemas.microsoft.com/office/drawing/2014/main" id="{C42DCCD3-EAA1-4EBC-B968-C08E3438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565932" y="13364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400861</xdr:colOff>
      <xdr:row>0</xdr:row>
      <xdr:rowOff>133641</xdr:rowOff>
    </xdr:from>
    <xdr:to>
      <xdr:col>17</xdr:col>
      <xdr:colOff>760861</xdr:colOff>
      <xdr:row>2</xdr:row>
      <xdr:rowOff>99746</xdr:rowOff>
    </xdr:to>
    <xdr:pic macro="[0]!PrepnoutSkrytiSloupcuSkutecnost">
      <xdr:nvPicPr>
        <xdr:cNvPr id="65" name="RozbalitSkutecnost" descr="Šipky ve tvaru V se souvislou výplní">
          <a:extLst>
            <a:ext uri="{FF2B5EF4-FFF2-40B4-BE49-F238E27FC236}">
              <a16:creationId xmlns:a16="http://schemas.microsoft.com/office/drawing/2014/main" id="{813A22FA-4B69-4947-8B56-6EB628EF6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933981" y="13364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30478</xdr:colOff>
      <xdr:row>0</xdr:row>
      <xdr:rowOff>133641</xdr:rowOff>
    </xdr:from>
    <xdr:to>
      <xdr:col>30</xdr:col>
      <xdr:colOff>390478</xdr:colOff>
      <xdr:row>2</xdr:row>
      <xdr:rowOff>99746</xdr:rowOff>
    </xdr:to>
    <xdr:pic macro="[0]!PrepnoutSkrytiSloupcuRozdil">
      <xdr:nvPicPr>
        <xdr:cNvPr id="66" name="SbalitRozdil" descr="Šipky ve tvaru V se souvislou výplní">
          <a:extLst>
            <a:ext uri="{FF2B5EF4-FFF2-40B4-BE49-F238E27FC236}">
              <a16:creationId xmlns:a16="http://schemas.microsoft.com/office/drawing/2014/main" id="{2B56F680-C314-45A6-9DAD-9ECE56300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135469" y="133641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398527</xdr:colOff>
      <xdr:row>0</xdr:row>
      <xdr:rowOff>133641</xdr:rowOff>
    </xdr:from>
    <xdr:to>
      <xdr:col>30</xdr:col>
      <xdr:colOff>758527</xdr:colOff>
      <xdr:row>2</xdr:row>
      <xdr:rowOff>99746</xdr:rowOff>
    </xdr:to>
    <xdr:pic macro="[0]!PrepnoutSkrytiSloupcuRozdil">
      <xdr:nvPicPr>
        <xdr:cNvPr id="67" name="RozbalitRozdil" descr="Šipky ve tvaru V se souvislou výplní">
          <a:extLst>
            <a:ext uri="{FF2B5EF4-FFF2-40B4-BE49-F238E27FC236}">
              <a16:creationId xmlns:a16="http://schemas.microsoft.com/office/drawing/2014/main" id="{5DE7147D-E781-4A9B-8D16-439752E82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4503518" y="133641"/>
          <a:ext cx="360000" cy="3600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127000</xdr:rowOff>
    </xdr:from>
    <xdr:to>
      <xdr:col>1</xdr:col>
      <xdr:colOff>2732846</xdr:colOff>
      <xdr:row>3</xdr:row>
      <xdr:rowOff>76157</xdr:rowOff>
    </xdr:to>
    <xdr:grpSp>
      <xdr:nvGrpSpPr>
        <xdr:cNvPr id="8" name="navigace">
          <a:extLst>
            <a:ext uri="{FF2B5EF4-FFF2-40B4-BE49-F238E27FC236}">
              <a16:creationId xmlns:a16="http://schemas.microsoft.com/office/drawing/2014/main" id="{8A6F4308-F18B-4B58-A001-D11195CF1F0B}"/>
            </a:ext>
          </a:extLst>
        </xdr:cNvPr>
        <xdr:cNvGrpSpPr/>
      </xdr:nvGrpSpPr>
      <xdr:grpSpPr>
        <a:xfrm>
          <a:off x="127000" y="127000"/>
          <a:ext cx="2682046" cy="543517"/>
          <a:chOff x="5921982" y="1266093"/>
          <a:chExt cx="2746523" cy="540000"/>
        </a:xfrm>
      </xdr:grpSpPr>
      <xdr:pic macro="NavigateSheet">
        <xdr:nvPicPr>
          <xdr:cNvPr id="9" name="ico_kumulace" descr="Pyramida s úrovněmi se souvislou výplní">
            <a:extLst>
              <a:ext uri="{FF2B5EF4-FFF2-40B4-BE49-F238E27FC236}">
                <a16:creationId xmlns:a16="http://schemas.microsoft.com/office/drawing/2014/main" id="{279BA429-1512-4867-48F6-B094D7294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128505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10" name="ico_kontingenční tabulka" descr="Tabulka se souvislou výplní">
            <a:extLst>
              <a:ext uri="{FF2B5EF4-FFF2-40B4-BE49-F238E27FC236}">
                <a16:creationId xmlns:a16="http://schemas.microsoft.com/office/drawing/2014/main" id="{05938C8D-E53F-9CD5-7FAD-4FE3D44C37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576875" y="1266093"/>
            <a:ext cx="540000" cy="540000"/>
          </a:xfrm>
          <a:prstGeom prst="rect">
            <a:avLst/>
          </a:prstGeom>
        </xdr:spPr>
      </xdr:pic>
      <xdr:pic macro="LoadAccountDetails">
        <xdr:nvPicPr>
          <xdr:cNvPr id="11" name="ico_load_detail">
            <a:extLst>
              <a:ext uri="{FF2B5EF4-FFF2-40B4-BE49-F238E27FC236}">
                <a16:creationId xmlns:a16="http://schemas.microsoft.com/office/drawing/2014/main" id="{86A1B68E-7F4A-3D57-9D31-6409A3F1E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025244" y="1266093"/>
            <a:ext cx="540000" cy="540000"/>
          </a:xfrm>
          <a:prstGeom prst="rect">
            <a:avLst/>
          </a:prstGeom>
        </xdr:spPr>
      </xdr:pic>
      <xdr:pic macro="LoadDataFromQueries">
        <xdr:nvPicPr>
          <xdr:cNvPr id="12" name="ico_load" descr="Stáhnout se souvislou výplní">
            <a:extLst>
              <a:ext uri="{FF2B5EF4-FFF2-40B4-BE49-F238E27FC236}">
                <a16:creationId xmlns:a16="http://schemas.microsoft.com/office/drawing/2014/main" id="{1EE56B4E-165E-FD73-E812-B94DE954B8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473613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13" name="ico_aplikace" descr="Domov se souvislou výplní">
            <a:extLst>
              <a:ext uri="{FF2B5EF4-FFF2-40B4-BE49-F238E27FC236}">
                <a16:creationId xmlns:a16="http://schemas.microsoft.com/office/drawing/2014/main" id="{42EB988C-4301-6BF4-6ED1-75A547FCC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5921982" y="1266093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69110</xdr:colOff>
      <xdr:row>0</xdr:row>
      <xdr:rowOff>63306</xdr:rowOff>
    </xdr:from>
    <xdr:to>
      <xdr:col>3</xdr:col>
      <xdr:colOff>429108</xdr:colOff>
      <xdr:row>2</xdr:row>
      <xdr:rowOff>29411</xdr:rowOff>
    </xdr:to>
    <xdr:pic macro="[0]!CheckAll">
      <xdr:nvPicPr>
        <xdr:cNvPr id="3" name="Grafický objekt 2" descr="Zaškrtnuté políčko se souvislou výplní">
          <a:extLst>
            <a:ext uri="{FF2B5EF4-FFF2-40B4-BE49-F238E27FC236}">
              <a16:creationId xmlns:a16="http://schemas.microsoft.com/office/drawing/2014/main" id="{0464FB4B-45A1-16B9-65A0-C05B4612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14168" y="63306"/>
          <a:ext cx="359998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69110</xdr:colOff>
      <xdr:row>1</xdr:row>
      <xdr:rowOff>119574</xdr:rowOff>
    </xdr:from>
    <xdr:to>
      <xdr:col>3</xdr:col>
      <xdr:colOff>429108</xdr:colOff>
      <xdr:row>3</xdr:row>
      <xdr:rowOff>85679</xdr:rowOff>
    </xdr:to>
    <xdr:pic macro="[0]!UncheckAll">
      <xdr:nvPicPr>
        <xdr:cNvPr id="7" name="Grafický objekt 6" descr="Přeškrtnuté políčko se souvislou výplní">
          <a:extLst>
            <a:ext uri="{FF2B5EF4-FFF2-40B4-BE49-F238E27FC236}">
              <a16:creationId xmlns:a16="http://schemas.microsoft.com/office/drawing/2014/main" id="{E95E1EBD-D939-4253-0062-9E0AF46AD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14168" y="316522"/>
          <a:ext cx="359998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70338</xdr:colOff>
      <xdr:row>0</xdr:row>
      <xdr:rowOff>154745</xdr:rowOff>
    </xdr:from>
    <xdr:to>
      <xdr:col>2</xdr:col>
      <xdr:colOff>590843</xdr:colOff>
      <xdr:row>3</xdr:row>
      <xdr:rowOff>84407</xdr:rowOff>
    </xdr:to>
    <xdr:pic macro="[0]!VyberBarvyGrafu">
      <xdr:nvPicPr>
        <xdr:cNvPr id="9" name="Grafický objekt 8" descr="Pruhový graf se souvislou výplní">
          <a:extLst>
            <a:ext uri="{FF2B5EF4-FFF2-40B4-BE49-F238E27FC236}">
              <a16:creationId xmlns:a16="http://schemas.microsoft.com/office/drawing/2014/main" id="{46BB9FA4-A8E2-D19C-5278-9C27B74E7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54215" y="154745"/>
          <a:ext cx="520505" cy="520505"/>
        </a:xfrm>
        <a:prstGeom prst="rect">
          <a:avLst/>
        </a:prstGeom>
      </xdr:spPr>
    </xdr:pic>
    <xdr:clientData/>
  </xdr:twoCellAnchor>
  <xdr:twoCellAnchor editAs="oneCell">
    <xdr:from>
      <xdr:col>4</xdr:col>
      <xdr:colOff>35169</xdr:colOff>
      <xdr:row>1</xdr:row>
      <xdr:rowOff>44546</xdr:rowOff>
    </xdr:from>
    <xdr:to>
      <xdr:col>4</xdr:col>
      <xdr:colOff>395169</xdr:colOff>
      <xdr:row>3</xdr:row>
      <xdr:rowOff>10651</xdr:rowOff>
    </xdr:to>
    <xdr:pic macro="[0]!PrepnoutSkrytiSloupcuPlan">
      <xdr:nvPicPr>
        <xdr:cNvPr id="54" name="SbalitPlan" descr="Šipky ve tvaru V se souvislou výplní">
          <a:extLst>
            <a:ext uri="{FF2B5EF4-FFF2-40B4-BE49-F238E27FC236}">
              <a16:creationId xmlns:a16="http://schemas.microsoft.com/office/drawing/2014/main" id="{F0CF299D-F24F-39F1-7E06-99F37008B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72597" y="24149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403218</xdr:colOff>
      <xdr:row>1</xdr:row>
      <xdr:rowOff>44546</xdr:rowOff>
    </xdr:from>
    <xdr:to>
      <xdr:col>4</xdr:col>
      <xdr:colOff>763218</xdr:colOff>
      <xdr:row>3</xdr:row>
      <xdr:rowOff>10651</xdr:rowOff>
    </xdr:to>
    <xdr:pic macro="[0]!PrepnoutSkrytiSloupcuPlan">
      <xdr:nvPicPr>
        <xdr:cNvPr id="56" name="RozbalitPlan" descr="Šipky ve tvaru V se souvislou výplní">
          <a:extLst>
            <a:ext uri="{FF2B5EF4-FFF2-40B4-BE49-F238E27FC236}">
              <a16:creationId xmlns:a16="http://schemas.microsoft.com/office/drawing/2014/main" id="{53953F5D-3974-CC44-5449-E52934591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440646" y="24149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32825</xdr:colOff>
      <xdr:row>1</xdr:row>
      <xdr:rowOff>44546</xdr:rowOff>
    </xdr:from>
    <xdr:to>
      <xdr:col>17</xdr:col>
      <xdr:colOff>392825</xdr:colOff>
      <xdr:row>3</xdr:row>
      <xdr:rowOff>10651</xdr:rowOff>
    </xdr:to>
    <xdr:pic macro="[0]!PrepnoutSkrytiSloupcuSkutecnost">
      <xdr:nvPicPr>
        <xdr:cNvPr id="57" name="SbalitSkutecnost" descr="Šipky ve tvaru V se souvislou výplní">
          <a:extLst>
            <a:ext uri="{FF2B5EF4-FFF2-40B4-BE49-F238E27FC236}">
              <a16:creationId xmlns:a16="http://schemas.microsoft.com/office/drawing/2014/main" id="{50AAFEC6-5F9F-4EC3-B960-421FCBC1E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4206025" y="24149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400874</xdr:colOff>
      <xdr:row>1</xdr:row>
      <xdr:rowOff>44546</xdr:rowOff>
    </xdr:from>
    <xdr:to>
      <xdr:col>17</xdr:col>
      <xdr:colOff>760874</xdr:colOff>
      <xdr:row>3</xdr:row>
      <xdr:rowOff>10651</xdr:rowOff>
    </xdr:to>
    <xdr:pic macro="[0]!PrepnoutSkrytiSloupcuSkutecnost">
      <xdr:nvPicPr>
        <xdr:cNvPr id="58" name="RozbalitSkutecnost" descr="Šipky ve tvaru V se souvislou výplní">
          <a:extLst>
            <a:ext uri="{FF2B5EF4-FFF2-40B4-BE49-F238E27FC236}">
              <a16:creationId xmlns:a16="http://schemas.microsoft.com/office/drawing/2014/main" id="{E05C44AC-463A-4560-B349-39A59C08E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574074" y="24149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30</xdr:col>
      <xdr:colOff>2345</xdr:colOff>
      <xdr:row>1</xdr:row>
      <xdr:rowOff>44546</xdr:rowOff>
    </xdr:from>
    <xdr:to>
      <xdr:col>30</xdr:col>
      <xdr:colOff>362345</xdr:colOff>
      <xdr:row>3</xdr:row>
      <xdr:rowOff>10651</xdr:rowOff>
    </xdr:to>
    <xdr:pic macro="[0]!PrepnoutSkrytiSloupcuRozdil">
      <xdr:nvPicPr>
        <xdr:cNvPr id="59" name="SbalitRozdil" descr="Šipky ve tvaru V se souvislou výplní">
          <a:extLst>
            <a:ext uri="{FF2B5EF4-FFF2-40B4-BE49-F238E27FC236}">
              <a16:creationId xmlns:a16="http://schemas.microsoft.com/office/drawing/2014/main" id="{879BC051-0A86-47C4-9ADA-1A957EA5F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4789619" y="24149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370394</xdr:colOff>
      <xdr:row>1</xdr:row>
      <xdr:rowOff>44546</xdr:rowOff>
    </xdr:from>
    <xdr:to>
      <xdr:col>30</xdr:col>
      <xdr:colOff>730394</xdr:colOff>
      <xdr:row>3</xdr:row>
      <xdr:rowOff>10651</xdr:rowOff>
    </xdr:to>
    <xdr:pic macro="[0]!PrepnoutSkrytiSloupcuRozdil">
      <xdr:nvPicPr>
        <xdr:cNvPr id="60" name="RozbalitRozdil" descr="Šipky ve tvaru V se souvislou výplní">
          <a:extLst>
            <a:ext uri="{FF2B5EF4-FFF2-40B4-BE49-F238E27FC236}">
              <a16:creationId xmlns:a16="http://schemas.microsoft.com/office/drawing/2014/main" id="{F9F833CC-1D82-48BF-BBD8-3DC3CEFE3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5157668" y="241494"/>
          <a:ext cx="360000" cy="3600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127000</xdr:rowOff>
    </xdr:from>
    <xdr:to>
      <xdr:col>1</xdr:col>
      <xdr:colOff>2732846</xdr:colOff>
      <xdr:row>3</xdr:row>
      <xdr:rowOff>76157</xdr:rowOff>
    </xdr:to>
    <xdr:grpSp>
      <xdr:nvGrpSpPr>
        <xdr:cNvPr id="35" name="navigace">
          <a:extLst>
            <a:ext uri="{FF2B5EF4-FFF2-40B4-BE49-F238E27FC236}">
              <a16:creationId xmlns:a16="http://schemas.microsoft.com/office/drawing/2014/main" id="{955B1DD6-72EC-4448-8936-65FD49D55A8A}"/>
            </a:ext>
          </a:extLst>
        </xdr:cNvPr>
        <xdr:cNvGrpSpPr/>
      </xdr:nvGrpSpPr>
      <xdr:grpSpPr>
        <a:xfrm>
          <a:off x="127000" y="127000"/>
          <a:ext cx="2682046" cy="543517"/>
          <a:chOff x="5921982" y="1266093"/>
          <a:chExt cx="2746523" cy="540000"/>
        </a:xfrm>
      </xdr:grpSpPr>
      <xdr:pic macro="NavigateSheet">
        <xdr:nvPicPr>
          <xdr:cNvPr id="36" name="ico_kumulace" descr="Pyramida s úrovněmi se souvislou výplní">
            <a:extLst>
              <a:ext uri="{FF2B5EF4-FFF2-40B4-BE49-F238E27FC236}">
                <a16:creationId xmlns:a16="http://schemas.microsoft.com/office/drawing/2014/main" id="{2DE86D98-D47B-D665-A00B-E56B73E46F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128505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37" name="ico_kontingenční tabulka" descr="Tabulka se souvislou výplní">
            <a:extLst>
              <a:ext uri="{FF2B5EF4-FFF2-40B4-BE49-F238E27FC236}">
                <a16:creationId xmlns:a16="http://schemas.microsoft.com/office/drawing/2014/main" id="{E368B99D-2C40-CA41-8FC1-F53A87DDF0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576875" y="1266093"/>
            <a:ext cx="540000" cy="540000"/>
          </a:xfrm>
          <a:prstGeom prst="rect">
            <a:avLst/>
          </a:prstGeom>
        </xdr:spPr>
      </xdr:pic>
      <xdr:pic macro="TotoMakroNicNedela">
        <xdr:nvPicPr>
          <xdr:cNvPr id="38" name="ico_load_detail">
            <a:extLst>
              <a:ext uri="{FF2B5EF4-FFF2-40B4-BE49-F238E27FC236}">
                <a16:creationId xmlns:a16="http://schemas.microsoft.com/office/drawing/2014/main" id="{746856C3-16E4-50B3-23EC-A242FE19B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025244" y="1266093"/>
            <a:ext cx="540000" cy="540000"/>
          </a:xfrm>
          <a:prstGeom prst="rect">
            <a:avLst/>
          </a:prstGeom>
        </xdr:spPr>
      </xdr:pic>
      <xdr:pic macro="KumulujVysledovkuPodleCheckboxu">
        <xdr:nvPicPr>
          <xdr:cNvPr id="39" name="ico_load" descr="Stáhnout se souvislou výplní">
            <a:extLst>
              <a:ext uri="{FF2B5EF4-FFF2-40B4-BE49-F238E27FC236}">
                <a16:creationId xmlns:a16="http://schemas.microsoft.com/office/drawing/2014/main" id="{E78D48C8-B76D-DFE0-2432-A03BE6FFE7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6473613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40" name="ico_aplikace" descr="Domov se souvislou výplní">
            <a:extLst>
              <a:ext uri="{FF2B5EF4-FFF2-40B4-BE49-F238E27FC236}">
                <a16:creationId xmlns:a16="http://schemas.microsoft.com/office/drawing/2014/main" id="{9292ECCD-4558-FB7A-3DB5-D609F5D51A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921982" y="1266093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8649821" y="907296"/>
    <xdr:ext cx="253224" cy="253224"/>
    <xdr:sp macro="[0]!Minus" textlink="">
      <xdr:nvSpPr>
        <xdr:cNvPr id="4" name="Grafický objekt 4" descr="Odznak, přestat sledovat se souvislou výplní">
          <a:extLst>
            <a:ext uri="{FF2B5EF4-FFF2-40B4-BE49-F238E27FC236}">
              <a16:creationId xmlns:a16="http://schemas.microsoft.com/office/drawing/2014/main" id="{A3CAC20C-C0AE-4BD4-8CC2-7274C43FB7E4}"/>
            </a:ext>
          </a:extLst>
        </xdr:cNvPr>
        <xdr:cNvSpPr>
          <a:spLocks noChangeAspect="1"/>
        </xdr:cNvSpPr>
      </xdr:nvSpPr>
      <xdr:spPr>
        <a:xfrm>
          <a:off x="8649821" y="907296"/>
          <a:ext cx="253224" cy="253224"/>
        </a:xfrm>
        <a:custGeom>
          <a:avLst/>
          <a:gdLst>
            <a:gd name="connsiteX0" fmla="*/ 126612 w 253224"/>
            <a:gd name="connsiteY0" fmla="*/ 0 h 253224"/>
            <a:gd name="connsiteX1" fmla="*/ 0 w 253224"/>
            <a:gd name="connsiteY1" fmla="*/ 126612 h 253224"/>
            <a:gd name="connsiteX2" fmla="*/ 126612 w 253224"/>
            <a:gd name="connsiteY2" fmla="*/ 253225 h 253224"/>
            <a:gd name="connsiteX3" fmla="*/ 253225 w 253224"/>
            <a:gd name="connsiteY3" fmla="*/ 126612 h 253224"/>
            <a:gd name="connsiteX4" fmla="*/ 253225 w 253224"/>
            <a:gd name="connsiteY4" fmla="*/ 126602 h 253224"/>
            <a:gd name="connsiteX5" fmla="*/ 126709 w 253224"/>
            <a:gd name="connsiteY5" fmla="*/ 0 h 253224"/>
            <a:gd name="connsiteX6" fmla="*/ 126612 w 253224"/>
            <a:gd name="connsiteY6" fmla="*/ 0 h 253224"/>
            <a:gd name="connsiteX7" fmla="*/ 185350 w 253224"/>
            <a:gd name="connsiteY7" fmla="*/ 137884 h 253224"/>
            <a:gd name="connsiteX8" fmla="*/ 67875 w 253224"/>
            <a:gd name="connsiteY8" fmla="*/ 137884 h 253224"/>
            <a:gd name="connsiteX9" fmla="*/ 67875 w 253224"/>
            <a:gd name="connsiteY9" fmla="*/ 115348 h 253224"/>
            <a:gd name="connsiteX10" fmla="*/ 185350 w 253224"/>
            <a:gd name="connsiteY10" fmla="*/ 115348 h 2532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53224" h="253224">
              <a:moveTo>
                <a:pt x="126612" y="0"/>
              </a:moveTo>
              <a:cubicBezTo>
                <a:pt x="56686" y="0"/>
                <a:pt x="0" y="56686"/>
                <a:pt x="0" y="126612"/>
              </a:cubicBezTo>
              <a:cubicBezTo>
                <a:pt x="0" y="196539"/>
                <a:pt x="56686" y="253225"/>
                <a:pt x="126612" y="253225"/>
              </a:cubicBezTo>
              <a:cubicBezTo>
                <a:pt x="196539" y="253225"/>
                <a:pt x="253225" y="196539"/>
                <a:pt x="253225" y="126612"/>
              </a:cubicBezTo>
              <a:cubicBezTo>
                <a:pt x="253225" y="126609"/>
                <a:pt x="253225" y="126606"/>
                <a:pt x="253225" y="126602"/>
              </a:cubicBezTo>
              <a:cubicBezTo>
                <a:pt x="253249" y="56706"/>
                <a:pt x="196606" y="24"/>
                <a:pt x="126709" y="0"/>
              </a:cubicBezTo>
              <a:cubicBezTo>
                <a:pt x="126677" y="0"/>
                <a:pt x="126645" y="0"/>
                <a:pt x="126612" y="0"/>
              </a:cubicBezTo>
              <a:close/>
              <a:moveTo>
                <a:pt x="185350" y="137884"/>
              </a:moveTo>
              <a:lnTo>
                <a:pt x="67875" y="137884"/>
              </a:lnTo>
              <a:lnTo>
                <a:pt x="67875" y="115348"/>
              </a:lnTo>
              <a:lnTo>
                <a:pt x="185350" y="115348"/>
              </a:lnTo>
              <a:close/>
            </a:path>
          </a:pathLst>
        </a:custGeom>
        <a:solidFill>
          <a:schemeClr val="tx1">
            <a:lumMod val="50000"/>
            <a:lumOff val="50000"/>
          </a:schemeClr>
        </a:solidFill>
        <a:ln w="4366" cap="flat">
          <a:noFill/>
          <a:prstDash val="solid"/>
          <a:miter/>
        </a:ln>
      </xdr:spPr>
      <xdr:txBody>
        <a:bodyPr rtlCol="0" anchor="ctr"/>
        <a:lstStyle/>
        <a:p>
          <a:endParaRPr lang="cs-CZ"/>
        </a:p>
      </xdr:txBody>
    </xdr:sp>
    <xdr:clientData fPrintsWithSheet="0"/>
  </xdr:absoluteAnchor>
  <xdr:absoluteAnchor>
    <xdr:pos x="8229600" y="875714"/>
    <xdr:ext cx="316530" cy="316530"/>
    <xdr:pic macro="[0]!Plus">
      <xdr:nvPicPr>
        <xdr:cNvPr id="5" name="Obrázek 4" descr="Odznak, sledovat se souvislou výplní">
          <a:extLst>
            <a:ext uri="{FF2B5EF4-FFF2-40B4-BE49-F238E27FC236}">
              <a16:creationId xmlns:a16="http://schemas.microsoft.com/office/drawing/2014/main" id="{2183E06F-194C-4930-ABC3-20F996ACA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229600" y="875714"/>
          <a:ext cx="316530" cy="316530"/>
        </a:xfrm>
        <a:prstGeom prst="rect">
          <a:avLst/>
        </a:prstGeom>
        <a:noFill/>
      </xdr:spPr>
    </xdr:pic>
    <xdr:clientData fPrintsWithSheet="0"/>
  </xdr:absoluteAnchor>
  <xdr:twoCellAnchor editAs="oneCell">
    <xdr:from>
      <xdr:col>1</xdr:col>
      <xdr:colOff>7032</xdr:colOff>
      <xdr:row>0</xdr:row>
      <xdr:rowOff>133644</xdr:rowOff>
    </xdr:from>
    <xdr:to>
      <xdr:col>3</xdr:col>
      <xdr:colOff>7033</xdr:colOff>
      <xdr:row>2</xdr:row>
      <xdr:rowOff>14068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Mesic">
              <a:extLst>
                <a:ext uri="{FF2B5EF4-FFF2-40B4-BE49-F238E27FC236}">
                  <a16:creationId xmlns:a16="http://schemas.microsoft.com/office/drawing/2014/main" id="{8FC4C8AA-ED4C-F44A-4543-5205856C5F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i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7518" y="133644"/>
              <a:ext cx="5964703" cy="724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 fLocksWithSheet="0"/>
  </xdr:twoCellAnchor>
  <xdr:twoCellAnchor editAs="absolute">
    <xdr:from>
      <xdr:col>0</xdr:col>
      <xdr:colOff>147711</xdr:colOff>
      <xdr:row>3</xdr:row>
      <xdr:rowOff>140677</xdr:rowOff>
    </xdr:from>
    <xdr:to>
      <xdr:col>0</xdr:col>
      <xdr:colOff>2855742</xdr:colOff>
      <xdr:row>39</xdr:row>
      <xdr:rowOff>168812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Skupina">
              <a:extLst>
                <a:ext uri="{FF2B5EF4-FFF2-40B4-BE49-F238E27FC236}">
                  <a16:creationId xmlns:a16="http://schemas.microsoft.com/office/drawing/2014/main" id="{48ED17D5-5F7A-065A-9D76-E7ADD13D9CE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kupi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711" y="1181686"/>
              <a:ext cx="2708031" cy="71182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 fLocksWithSheet="0"/>
  </xdr:twoCellAnchor>
  <xdr:twoCellAnchor>
    <xdr:from>
      <xdr:col>0</xdr:col>
      <xdr:colOff>127000</xdr:colOff>
      <xdr:row>0</xdr:row>
      <xdr:rowOff>127000</xdr:rowOff>
    </xdr:from>
    <xdr:to>
      <xdr:col>0</xdr:col>
      <xdr:colOff>2873523</xdr:colOff>
      <xdr:row>1</xdr:row>
      <xdr:rowOff>470052</xdr:rowOff>
    </xdr:to>
    <xdr:grpSp>
      <xdr:nvGrpSpPr>
        <xdr:cNvPr id="10" name="navigace">
          <a:extLst>
            <a:ext uri="{FF2B5EF4-FFF2-40B4-BE49-F238E27FC236}">
              <a16:creationId xmlns:a16="http://schemas.microsoft.com/office/drawing/2014/main" id="{0F2A37AC-F456-43AB-8EAD-6243FB38DB55}"/>
            </a:ext>
          </a:extLst>
        </xdr:cNvPr>
        <xdr:cNvGrpSpPr/>
      </xdr:nvGrpSpPr>
      <xdr:grpSpPr>
        <a:xfrm>
          <a:off x="127000" y="127000"/>
          <a:ext cx="2746523" cy="533552"/>
          <a:chOff x="5921982" y="1266093"/>
          <a:chExt cx="2746523" cy="540000"/>
        </a:xfrm>
      </xdr:grpSpPr>
      <xdr:pic macro="NavigateSheet">
        <xdr:nvPicPr>
          <xdr:cNvPr id="11" name="ico_kumulace" descr="Pyramida s úrovněmi se souvislou výplní">
            <a:extLst>
              <a:ext uri="{FF2B5EF4-FFF2-40B4-BE49-F238E27FC236}">
                <a16:creationId xmlns:a16="http://schemas.microsoft.com/office/drawing/2014/main" id="{FA3D78E4-94A4-3F2A-8F93-D1B86E3AE0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128505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12" name="ico_kontingenční tabulka" descr="Tabulka se souvislou výplní">
            <a:extLst>
              <a:ext uri="{FF2B5EF4-FFF2-40B4-BE49-F238E27FC236}">
                <a16:creationId xmlns:a16="http://schemas.microsoft.com/office/drawing/2014/main" id="{1EF6A07A-97BE-427C-84EB-D943CEE042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576875" y="1266093"/>
            <a:ext cx="540000" cy="540000"/>
          </a:xfrm>
          <a:prstGeom prst="rect">
            <a:avLst/>
          </a:prstGeom>
        </xdr:spPr>
      </xdr:pic>
      <xdr:pic macro="TotoMakroNicNedela">
        <xdr:nvPicPr>
          <xdr:cNvPr id="13" name="ico_load_detail">
            <a:extLst>
              <a:ext uri="{FF2B5EF4-FFF2-40B4-BE49-F238E27FC236}">
                <a16:creationId xmlns:a16="http://schemas.microsoft.com/office/drawing/2014/main" id="{CD1ECA94-6557-3A8A-DEF2-ED033BA5E0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025244" y="1266093"/>
            <a:ext cx="540000" cy="540000"/>
          </a:xfrm>
          <a:prstGeom prst="rect">
            <a:avLst/>
          </a:prstGeom>
        </xdr:spPr>
      </xdr:pic>
      <xdr:pic macro="TotoMakroNicNedela">
        <xdr:nvPicPr>
          <xdr:cNvPr id="14" name="ico_load" descr="Stáhnout se souvislou výplní">
            <a:extLst>
              <a:ext uri="{FF2B5EF4-FFF2-40B4-BE49-F238E27FC236}">
                <a16:creationId xmlns:a16="http://schemas.microsoft.com/office/drawing/2014/main" id="{A604C922-EEBF-DA69-5D7D-B3CD2661CD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73613" y="1266093"/>
            <a:ext cx="540000" cy="540000"/>
          </a:xfrm>
          <a:prstGeom prst="rect">
            <a:avLst/>
          </a:prstGeom>
        </xdr:spPr>
      </xdr:pic>
      <xdr:pic macro="NavigateSheet">
        <xdr:nvPicPr>
          <xdr:cNvPr id="15" name="ico_aplikace" descr="Domov se souvislou výplní">
            <a:extLst>
              <a:ext uri="{FF2B5EF4-FFF2-40B4-BE49-F238E27FC236}">
                <a16:creationId xmlns:a16="http://schemas.microsoft.com/office/drawing/2014/main" id="{A42B935C-7169-C51E-120B-BA7351FC9A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921982" y="1266093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16</xdr:col>
      <xdr:colOff>151033</xdr:colOff>
      <xdr:row>19</xdr:row>
      <xdr:rowOff>78838</xdr:rowOff>
    </xdr:to>
    <xdr:graphicFrame macro="">
      <xdr:nvGraphicFramePr>
        <xdr:cNvPr id="4" name="GrafKategorie">
          <a:extLst>
            <a:ext uri="{FF2B5EF4-FFF2-40B4-BE49-F238E27FC236}">
              <a16:creationId xmlns:a16="http://schemas.microsoft.com/office/drawing/2014/main" id="{A723D737-B92B-F6B9-370F-81D89222C3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278033</xdr:colOff>
      <xdr:row>0</xdr:row>
      <xdr:rowOff>127000</xdr:rowOff>
    </xdr:from>
    <xdr:to>
      <xdr:col>32</xdr:col>
      <xdr:colOff>302065</xdr:colOff>
      <xdr:row>19</xdr:row>
      <xdr:rowOff>78838</xdr:rowOff>
    </xdr:to>
    <xdr:graphicFrame macro="">
      <xdr:nvGraphicFramePr>
        <xdr:cNvPr id="10" name="GrafKategorieKumulativni">
          <a:extLst>
            <a:ext uri="{FF2B5EF4-FFF2-40B4-BE49-F238E27FC236}">
              <a16:creationId xmlns:a16="http://schemas.microsoft.com/office/drawing/2014/main" id="{2B5117CC-50BE-494F-8C9D-4EB51F973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264832</xdr:colOff>
      <xdr:row>6</xdr:row>
      <xdr:rowOff>70339</xdr:rowOff>
    </xdr:from>
    <xdr:to>
      <xdr:col>18</xdr:col>
      <xdr:colOff>185853</xdr:colOff>
      <xdr:row>9</xdr:row>
      <xdr:rowOff>19496</xdr:rowOff>
    </xdr:to>
    <xdr:pic>
      <xdr:nvPicPr>
        <xdr:cNvPr id="8" name="ico_agregace" descr="Priority se souvislou výplní">
          <a:extLst>
            <a:ext uri="{FF2B5EF4-FFF2-40B4-BE49-F238E27FC236}">
              <a16:creationId xmlns:a16="http://schemas.microsoft.com/office/drawing/2014/main" id="{B1B2026F-2CD9-3265-397B-61821C47E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089921" y="1252025"/>
          <a:ext cx="540000" cy="540000"/>
        </a:xfrm>
        <a:prstGeom prst="rect">
          <a:avLst/>
        </a:prstGeom>
      </xdr:spPr>
    </xdr:pic>
    <xdr:clientData/>
  </xdr:twoCellAnchor>
  <xdr:twoCellAnchor>
    <xdr:from>
      <xdr:col>18</xdr:col>
      <xdr:colOff>386862</xdr:colOff>
      <xdr:row>6</xdr:row>
      <xdr:rowOff>77373</xdr:rowOff>
    </xdr:from>
    <xdr:to>
      <xdr:col>19</xdr:col>
      <xdr:colOff>307884</xdr:colOff>
      <xdr:row>9</xdr:row>
      <xdr:rowOff>26530</xdr:rowOff>
    </xdr:to>
    <xdr:pic>
      <xdr:nvPicPr>
        <xdr:cNvPr id="9" name="ico_graf" descr="Pruhový graf se vzestupným trendem se souvislou výplní">
          <a:extLst>
            <a:ext uri="{FF2B5EF4-FFF2-40B4-BE49-F238E27FC236}">
              <a16:creationId xmlns:a16="http://schemas.microsoft.com/office/drawing/2014/main" id="{660AF820-910F-3435-4349-3C4ABBB14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830930" y="1259059"/>
          <a:ext cx="540000" cy="540000"/>
        </a:xfrm>
        <a:prstGeom prst="rect">
          <a:avLst/>
        </a:prstGeom>
      </xdr:spPr>
    </xdr:pic>
    <xdr:clientData/>
  </xdr:twoCellAnchor>
  <xdr:twoCellAnchor>
    <xdr:from>
      <xdr:col>12</xdr:col>
      <xdr:colOff>295421</xdr:colOff>
      <xdr:row>5</xdr:row>
      <xdr:rowOff>189914</xdr:rowOff>
    </xdr:from>
    <xdr:to>
      <xdr:col>16</xdr:col>
      <xdr:colOff>566030</xdr:colOff>
      <xdr:row>8</xdr:row>
      <xdr:rowOff>139070</xdr:rowOff>
    </xdr:to>
    <xdr:grpSp>
      <xdr:nvGrpSpPr>
        <xdr:cNvPr id="3" name="navigace">
          <a:extLst>
            <a:ext uri="{FF2B5EF4-FFF2-40B4-BE49-F238E27FC236}">
              <a16:creationId xmlns:a16="http://schemas.microsoft.com/office/drawing/2014/main" id="{3CF7555A-4339-4A12-A44E-935FAE25B9E5}"/>
            </a:ext>
          </a:extLst>
        </xdr:cNvPr>
        <xdr:cNvGrpSpPr/>
      </xdr:nvGrpSpPr>
      <xdr:grpSpPr>
        <a:xfrm>
          <a:off x="7884941" y="1142414"/>
          <a:ext cx="2709009" cy="520656"/>
          <a:chOff x="5921982" y="1266093"/>
          <a:chExt cx="2746523" cy="540000"/>
        </a:xfrm>
      </xdr:grpSpPr>
      <xdr:pic macro="[0]!NavigateSheet">
        <xdr:nvPicPr>
          <xdr:cNvPr id="4" name="ico_kumulace" descr="Pyramida s úrovněmi se souvislou výplní">
            <a:extLst>
              <a:ext uri="{FF2B5EF4-FFF2-40B4-BE49-F238E27FC236}">
                <a16:creationId xmlns:a16="http://schemas.microsoft.com/office/drawing/2014/main" id="{204436B6-A86E-3C5F-9B95-08B875F8F3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28505" y="1266093"/>
            <a:ext cx="540000" cy="540000"/>
          </a:xfrm>
          <a:prstGeom prst="rect">
            <a:avLst/>
          </a:prstGeom>
        </xdr:spPr>
      </xdr:pic>
      <xdr:pic macro="[0]!NavigateSheet">
        <xdr:nvPicPr>
          <xdr:cNvPr id="5" name="ico_kontingenční tabulka" descr="Tabulka se souvislou výplní">
            <a:extLst>
              <a:ext uri="{FF2B5EF4-FFF2-40B4-BE49-F238E27FC236}">
                <a16:creationId xmlns:a16="http://schemas.microsoft.com/office/drawing/2014/main" id="{D122E6A3-1F70-25FB-3175-D7E49DCE49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576875" y="1266093"/>
            <a:ext cx="540000" cy="540000"/>
          </a:xfrm>
          <a:prstGeom prst="rect">
            <a:avLst/>
          </a:prstGeom>
        </xdr:spPr>
      </xdr:pic>
      <xdr:pic macro="[0]!LoadAccountDetails">
        <xdr:nvPicPr>
          <xdr:cNvPr id="6" name="ico_load_detail">
            <a:extLst>
              <a:ext uri="{FF2B5EF4-FFF2-40B4-BE49-F238E27FC236}">
                <a16:creationId xmlns:a16="http://schemas.microsoft.com/office/drawing/2014/main" id="{515B50ED-DC03-FE5D-26B9-3245295B22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025244" y="1266093"/>
            <a:ext cx="540000" cy="540000"/>
          </a:xfrm>
          <a:prstGeom prst="rect">
            <a:avLst/>
          </a:prstGeom>
        </xdr:spPr>
      </xdr:pic>
      <xdr:pic macro="[0]!LoadDataFromQueries">
        <xdr:nvPicPr>
          <xdr:cNvPr id="7" name="ico_load" descr="Stáhnout se souvislou výplní">
            <a:extLst>
              <a:ext uri="{FF2B5EF4-FFF2-40B4-BE49-F238E27FC236}">
                <a16:creationId xmlns:a16="http://schemas.microsoft.com/office/drawing/2014/main" id="{40476559-17CE-63BE-4AE9-2B3B22BB7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473613" y="1266093"/>
            <a:ext cx="540000" cy="540000"/>
          </a:xfrm>
          <a:prstGeom prst="rect">
            <a:avLst/>
          </a:prstGeom>
        </xdr:spPr>
      </xdr:pic>
      <xdr:pic macro="[0]!NavigateSheet">
        <xdr:nvPicPr>
          <xdr:cNvPr id="10" name="ico_aplikace" descr="Domov se souvislou výplní">
            <a:extLst>
              <a:ext uri="{FF2B5EF4-FFF2-40B4-BE49-F238E27FC236}">
                <a16:creationId xmlns:a16="http://schemas.microsoft.com/office/drawing/2014/main" id="{1B77FCDF-984C-78B9-A4FB-0153AA2FF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921982" y="1266093"/>
            <a:ext cx="540000" cy="5400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&#367;j%20disk\Projekty\IN-EKO\Rozpo&#269;et\Rozpo&#269;et_old.xlsm" TargetMode="External"/><Relationship Id="rId1" Type="http://schemas.openxmlformats.org/officeDocument/2006/relationships/externalLinkPath" Target="file:///G:\M&#367;j%20disk\Projekty\IN-EKO\Rozpo&#269;et\Rozpo&#269;et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plikace"/>
      <sheetName val="Kontingenční tabulka"/>
      <sheetName val="Kumulace"/>
      <sheetName val="DataProGraf"/>
      <sheetName val="Grafy"/>
      <sheetName val="Konfigurace"/>
      <sheetName val="Rozpočet"/>
      <sheetName val="Detail"/>
      <sheetName val="Rozpočet_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Rok</v>
          </cell>
          <cell r="B1" t="str">
            <v>Mesic</v>
          </cell>
          <cell r="D1" t="str">
            <v>Skupina</v>
          </cell>
          <cell r="G1" t="str">
            <v>Skutecnost</v>
          </cell>
        </row>
        <row r="2">
          <cell r="A2">
            <v>2024</v>
          </cell>
          <cell r="B2">
            <v>4</v>
          </cell>
          <cell r="G2">
            <v>189389</v>
          </cell>
        </row>
        <row r="3">
          <cell r="A3">
            <v>2024</v>
          </cell>
          <cell r="B3">
            <v>4</v>
          </cell>
          <cell r="D3" t="str">
            <v>BOZP, PO, revize</v>
          </cell>
          <cell r="G3">
            <v>2550</v>
          </cell>
        </row>
        <row r="4">
          <cell r="A4">
            <v>2024</v>
          </cell>
          <cell r="B4">
            <v>4</v>
          </cell>
          <cell r="D4" t="str">
            <v>Budova, venkovní prostory</v>
          </cell>
          <cell r="G4">
            <v>5819</v>
          </cell>
        </row>
        <row r="5">
          <cell r="A5">
            <v>2024</v>
          </cell>
          <cell r="B5">
            <v>4</v>
          </cell>
          <cell r="D5" t="str">
            <v>Celní služby</v>
          </cell>
          <cell r="G5">
            <v>13295</v>
          </cell>
        </row>
        <row r="6">
          <cell r="A6">
            <v>2024</v>
          </cell>
          <cell r="B6">
            <v>4</v>
          </cell>
          <cell r="D6" t="str">
            <v>Cestovné</v>
          </cell>
          <cell r="G6">
            <v>3962</v>
          </cell>
        </row>
        <row r="7">
          <cell r="A7">
            <v>2024</v>
          </cell>
          <cell r="B7">
            <v>4</v>
          </cell>
          <cell r="D7" t="str">
            <v>Cestovné</v>
          </cell>
          <cell r="G7">
            <v>54971</v>
          </cell>
        </row>
        <row r="8">
          <cell r="A8">
            <v>2024</v>
          </cell>
          <cell r="B8">
            <v>4</v>
          </cell>
          <cell r="D8" t="str">
            <v>Cestovné</v>
          </cell>
          <cell r="G8">
            <v>27416</v>
          </cell>
        </row>
        <row r="9">
          <cell r="A9">
            <v>2024</v>
          </cell>
          <cell r="B9">
            <v>4</v>
          </cell>
          <cell r="D9" t="str">
            <v>Cestovné</v>
          </cell>
          <cell r="G9">
            <v>18269</v>
          </cell>
        </row>
        <row r="10">
          <cell r="A10">
            <v>2024</v>
          </cell>
          <cell r="B10">
            <v>4</v>
          </cell>
          <cell r="D10" t="str">
            <v>Daně a poplatky</v>
          </cell>
          <cell r="G10">
            <v>309</v>
          </cell>
        </row>
        <row r="11">
          <cell r="A11">
            <v>2024</v>
          </cell>
          <cell r="B11">
            <v>4</v>
          </cell>
          <cell r="D11" t="str">
            <v>Daně a poplatky</v>
          </cell>
          <cell r="G11">
            <v>19000</v>
          </cell>
        </row>
        <row r="12">
          <cell r="A12">
            <v>2024</v>
          </cell>
          <cell r="B12">
            <v>4</v>
          </cell>
          <cell r="D12" t="str">
            <v>Daně a poplatky</v>
          </cell>
          <cell r="G12">
            <v>-106</v>
          </cell>
        </row>
        <row r="13">
          <cell r="A13">
            <v>2024</v>
          </cell>
          <cell r="B13">
            <v>4</v>
          </cell>
          <cell r="D13" t="str">
            <v>Dekorační předměty, údržba zeleně</v>
          </cell>
          <cell r="G13">
            <v>231</v>
          </cell>
        </row>
        <row r="14">
          <cell r="A14">
            <v>2024</v>
          </cell>
          <cell r="B14">
            <v>4</v>
          </cell>
          <cell r="D14" t="str">
            <v>Doprava</v>
          </cell>
          <cell r="G14">
            <v>453200</v>
          </cell>
        </row>
        <row r="15">
          <cell r="A15">
            <v>2024</v>
          </cell>
          <cell r="B15">
            <v>4</v>
          </cell>
          <cell r="D15" t="str">
            <v>Drobný HIM - nářadí</v>
          </cell>
          <cell r="G15">
            <v>4364</v>
          </cell>
        </row>
        <row r="16">
          <cell r="A16">
            <v>2024</v>
          </cell>
          <cell r="B16">
            <v>4</v>
          </cell>
          <cell r="D16" t="str">
            <v>Drobný HIM - správní budova</v>
          </cell>
          <cell r="G16">
            <v>14000</v>
          </cell>
        </row>
        <row r="17">
          <cell r="A17">
            <v>2024</v>
          </cell>
          <cell r="B17">
            <v>4</v>
          </cell>
          <cell r="D17" t="str">
            <v>Drobný HIM - vybavení dílny</v>
          </cell>
          <cell r="G17">
            <v>18409</v>
          </cell>
        </row>
        <row r="18">
          <cell r="A18">
            <v>2024</v>
          </cell>
          <cell r="B18">
            <v>4</v>
          </cell>
          <cell r="D18" t="str">
            <v>Elektrická energie</v>
          </cell>
          <cell r="G18">
            <v>42058</v>
          </cell>
        </row>
        <row r="19">
          <cell r="A19">
            <v>2024</v>
          </cell>
          <cell r="B19">
            <v>4</v>
          </cell>
          <cell r="D19" t="str">
            <v>Finanční náklady</v>
          </cell>
          <cell r="G19">
            <v>1903</v>
          </cell>
        </row>
        <row r="20">
          <cell r="A20">
            <v>2024</v>
          </cell>
          <cell r="B20">
            <v>4</v>
          </cell>
          <cell r="D20" t="str">
            <v>Finanční náklady</v>
          </cell>
          <cell r="G20">
            <v>7958</v>
          </cell>
        </row>
        <row r="21">
          <cell r="A21">
            <v>2024</v>
          </cell>
          <cell r="B21">
            <v>4</v>
          </cell>
          <cell r="D21" t="str">
            <v>Finanční náklady</v>
          </cell>
          <cell r="G21">
            <v>19475</v>
          </cell>
        </row>
        <row r="22">
          <cell r="A22">
            <v>2024</v>
          </cell>
          <cell r="B22">
            <v>4</v>
          </cell>
          <cell r="D22" t="str">
            <v>Finanční náklady</v>
          </cell>
          <cell r="G22">
            <v>14012</v>
          </cell>
        </row>
        <row r="23">
          <cell r="A23">
            <v>2024</v>
          </cell>
          <cell r="B23">
            <v>4</v>
          </cell>
          <cell r="D23" t="str">
            <v>Finanční náklady</v>
          </cell>
          <cell r="G23">
            <v>6965</v>
          </cell>
        </row>
        <row r="24">
          <cell r="A24">
            <v>2024</v>
          </cell>
          <cell r="B24">
            <v>4</v>
          </cell>
          <cell r="D24" t="str">
            <v>Finanční výnosy</v>
          </cell>
          <cell r="G24">
            <v>127868</v>
          </cell>
        </row>
        <row r="25">
          <cell r="A25">
            <v>2024</v>
          </cell>
          <cell r="B25">
            <v>4</v>
          </cell>
          <cell r="D25" t="str">
            <v>Finanční výnosy</v>
          </cell>
          <cell r="G25">
            <v>25446</v>
          </cell>
        </row>
        <row r="26">
          <cell r="A26">
            <v>2024</v>
          </cell>
          <cell r="B26">
            <v>4</v>
          </cell>
          <cell r="D26" t="str">
            <v>FVE</v>
          </cell>
          <cell r="G26">
            <v>-77078</v>
          </cell>
        </row>
        <row r="27">
          <cell r="A27">
            <v>2024</v>
          </cell>
          <cell r="B27">
            <v>4</v>
          </cell>
          <cell r="D27" t="str">
            <v>FVE</v>
          </cell>
          <cell r="G27">
            <v>367040</v>
          </cell>
        </row>
        <row r="28">
          <cell r="A28">
            <v>2024</v>
          </cell>
          <cell r="B28">
            <v>4</v>
          </cell>
          <cell r="D28" t="str">
            <v>Kancelářský materiál</v>
          </cell>
          <cell r="G28">
            <v>1905</v>
          </cell>
        </row>
        <row r="29">
          <cell r="A29">
            <v>2024</v>
          </cell>
          <cell r="B29">
            <v>4</v>
          </cell>
          <cell r="D29" t="str">
            <v>Kooperace I</v>
          </cell>
          <cell r="G29">
            <v>1144610</v>
          </cell>
        </row>
        <row r="30">
          <cell r="A30">
            <v>2024</v>
          </cell>
          <cell r="B30">
            <v>4</v>
          </cell>
          <cell r="D30" t="str">
            <v>Kooperace II</v>
          </cell>
          <cell r="G30">
            <v>397562</v>
          </cell>
        </row>
        <row r="31">
          <cell r="A31">
            <v>2024</v>
          </cell>
          <cell r="B31">
            <v>4</v>
          </cell>
          <cell r="D31" t="str">
            <v>Kurzy AJ, školení</v>
          </cell>
          <cell r="G31">
            <v>4570</v>
          </cell>
        </row>
        <row r="32">
          <cell r="A32">
            <v>2024</v>
          </cell>
          <cell r="B32">
            <v>4</v>
          </cell>
          <cell r="D32" t="str">
            <v>Likvidace odpadu</v>
          </cell>
          <cell r="G32">
            <v>6587</v>
          </cell>
        </row>
        <row r="33">
          <cell r="A33">
            <v>2024</v>
          </cell>
          <cell r="B33">
            <v>4</v>
          </cell>
          <cell r="D33" t="str">
            <v>Materiál na cestě</v>
          </cell>
          <cell r="G33">
            <v>2238130</v>
          </cell>
        </row>
        <row r="34">
          <cell r="A34">
            <v>2024</v>
          </cell>
          <cell r="B34">
            <v>4</v>
          </cell>
          <cell r="D34" t="str">
            <v>Mycí, čistící, desinfekční prostředky</v>
          </cell>
          <cell r="G34">
            <v>7585</v>
          </cell>
        </row>
        <row r="35">
          <cell r="A35">
            <v>2024</v>
          </cell>
          <cell r="B35">
            <v>4</v>
          </cell>
          <cell r="D35" t="str">
            <v>Nájemné</v>
          </cell>
          <cell r="G35">
            <v>33130</v>
          </cell>
        </row>
        <row r="36">
          <cell r="A36">
            <v>2024</v>
          </cell>
          <cell r="B36">
            <v>4</v>
          </cell>
          <cell r="D36" t="str">
            <v>Nedokončená výroba</v>
          </cell>
          <cell r="G36">
            <v>14048412</v>
          </cell>
        </row>
        <row r="37">
          <cell r="A37">
            <v>2024</v>
          </cell>
          <cell r="B37">
            <v>4</v>
          </cell>
          <cell r="D37" t="str">
            <v>Obalový materiál - krabice, palety</v>
          </cell>
          <cell r="G37">
            <v>26811</v>
          </cell>
        </row>
        <row r="38">
          <cell r="A38">
            <v>2024</v>
          </cell>
          <cell r="B38">
            <v>4</v>
          </cell>
          <cell r="D38" t="str">
            <v>Obalový materiál - krabice, palety</v>
          </cell>
          <cell r="G38">
            <v>26742</v>
          </cell>
        </row>
        <row r="39">
          <cell r="A39">
            <v>2024</v>
          </cell>
          <cell r="B39">
            <v>4</v>
          </cell>
          <cell r="D39" t="str">
            <v>Obalový materiál - zámořské balení</v>
          </cell>
          <cell r="G39">
            <v>147340</v>
          </cell>
        </row>
        <row r="40">
          <cell r="A40">
            <v>2024</v>
          </cell>
          <cell r="B40">
            <v>4</v>
          </cell>
          <cell r="D40" t="str">
            <v>Občerstvení - kuchyňka, kantýna</v>
          </cell>
          <cell r="G40">
            <v>388</v>
          </cell>
        </row>
        <row r="41">
          <cell r="A41">
            <v>2024</v>
          </cell>
          <cell r="B41">
            <v>4</v>
          </cell>
          <cell r="D41" t="str">
            <v>Občerstvení pro obchodní partnery</v>
          </cell>
          <cell r="G41">
            <v>6316</v>
          </cell>
        </row>
        <row r="42">
          <cell r="A42">
            <v>2024</v>
          </cell>
          <cell r="B42">
            <v>4</v>
          </cell>
          <cell r="D42" t="str">
            <v>Odpisy</v>
          </cell>
          <cell r="G42">
            <v>441181</v>
          </cell>
        </row>
        <row r="43">
          <cell r="A43">
            <v>2024</v>
          </cell>
          <cell r="B43">
            <v>4</v>
          </cell>
          <cell r="D43" t="str">
            <v>Odpisy</v>
          </cell>
          <cell r="G43">
            <v>21917</v>
          </cell>
        </row>
        <row r="44">
          <cell r="A44">
            <v>2024</v>
          </cell>
          <cell r="B44">
            <v>4</v>
          </cell>
          <cell r="D44" t="str">
            <v>Odpisy</v>
          </cell>
          <cell r="G44">
            <v>875</v>
          </cell>
        </row>
        <row r="45">
          <cell r="A45">
            <v>2024</v>
          </cell>
          <cell r="B45">
            <v>4</v>
          </cell>
          <cell r="D45" t="str">
            <v>Odpisy</v>
          </cell>
          <cell r="G45">
            <v>45317</v>
          </cell>
        </row>
        <row r="46">
          <cell r="A46">
            <v>2024</v>
          </cell>
          <cell r="B46">
            <v>4</v>
          </cell>
          <cell r="D46" t="str">
            <v>Odpisy</v>
          </cell>
          <cell r="G46">
            <v>63282</v>
          </cell>
        </row>
        <row r="47">
          <cell r="A47">
            <v>2024</v>
          </cell>
          <cell r="B47">
            <v>4</v>
          </cell>
          <cell r="D47" t="str">
            <v>Odpisy</v>
          </cell>
          <cell r="G47">
            <v>7163</v>
          </cell>
        </row>
        <row r="48">
          <cell r="A48">
            <v>2024</v>
          </cell>
          <cell r="B48">
            <v>4</v>
          </cell>
          <cell r="D48" t="str">
            <v>OOPP + BOZP vybavení</v>
          </cell>
          <cell r="G48">
            <v>15390</v>
          </cell>
        </row>
        <row r="49">
          <cell r="A49">
            <v>2024</v>
          </cell>
          <cell r="B49">
            <v>4</v>
          </cell>
          <cell r="D49" t="str">
            <v>Opravná položka k materiálu</v>
          </cell>
          <cell r="G49">
            <v>724082</v>
          </cell>
        </row>
        <row r="50">
          <cell r="A50">
            <v>2024</v>
          </cell>
          <cell r="B50">
            <v>4</v>
          </cell>
          <cell r="D50" t="str">
            <v>Opravná položka k výrobkům</v>
          </cell>
          <cell r="G50">
            <v>3728511</v>
          </cell>
        </row>
        <row r="51">
          <cell r="A51">
            <v>2024</v>
          </cell>
          <cell r="B51">
            <v>4</v>
          </cell>
          <cell r="D51" t="str">
            <v>Opravy a údržba vozidel</v>
          </cell>
          <cell r="G51">
            <v>2422</v>
          </cell>
        </row>
        <row r="52">
          <cell r="A52">
            <v>2024</v>
          </cell>
          <cell r="B52">
            <v>4</v>
          </cell>
          <cell r="D52" t="str">
            <v>Opravy a údržba vozidel</v>
          </cell>
          <cell r="G52">
            <v>3742</v>
          </cell>
        </row>
        <row r="53">
          <cell r="A53">
            <v>2024</v>
          </cell>
          <cell r="B53">
            <v>4</v>
          </cell>
          <cell r="D53" t="str">
            <v>Opravy a údržba vozidel</v>
          </cell>
          <cell r="G53">
            <v>24936</v>
          </cell>
        </row>
        <row r="54">
          <cell r="A54">
            <v>2024</v>
          </cell>
          <cell r="B54">
            <v>4</v>
          </cell>
          <cell r="D54" t="str">
            <v>Opravy a údržba vozidel</v>
          </cell>
          <cell r="G54">
            <v>223</v>
          </cell>
        </row>
        <row r="55">
          <cell r="A55">
            <v>2024</v>
          </cell>
          <cell r="B55">
            <v>4</v>
          </cell>
          <cell r="D55" t="str">
            <v>Opravy a údržba vozidel</v>
          </cell>
          <cell r="G55">
            <v>190</v>
          </cell>
        </row>
        <row r="56">
          <cell r="A56">
            <v>2024</v>
          </cell>
          <cell r="B56">
            <v>4</v>
          </cell>
          <cell r="D56" t="str">
            <v>Opravy a údržba vozidel</v>
          </cell>
          <cell r="G56">
            <v>5535</v>
          </cell>
        </row>
        <row r="57">
          <cell r="A57">
            <v>2024</v>
          </cell>
          <cell r="B57">
            <v>4</v>
          </cell>
          <cell r="D57" t="str">
            <v>Opravy, servisy, montáže</v>
          </cell>
          <cell r="G57">
            <v>1254322</v>
          </cell>
        </row>
        <row r="58">
          <cell r="A58">
            <v>2024</v>
          </cell>
          <cell r="B58">
            <v>4</v>
          </cell>
          <cell r="D58" t="str">
            <v>Osobní náklady</v>
          </cell>
          <cell r="G58">
            <v>3293088</v>
          </cell>
        </row>
        <row r="59">
          <cell r="A59">
            <v>2024</v>
          </cell>
          <cell r="B59">
            <v>4</v>
          </cell>
          <cell r="D59" t="str">
            <v>Osobní náklady</v>
          </cell>
          <cell r="G59">
            <v>122796</v>
          </cell>
        </row>
        <row r="60">
          <cell r="A60">
            <v>2024</v>
          </cell>
          <cell r="B60">
            <v>4</v>
          </cell>
          <cell r="D60" t="str">
            <v>Osobní náklady</v>
          </cell>
          <cell r="G60">
            <v>809751</v>
          </cell>
        </row>
        <row r="61">
          <cell r="A61">
            <v>2024</v>
          </cell>
          <cell r="B61">
            <v>4</v>
          </cell>
          <cell r="D61" t="str">
            <v>Osobní náklady</v>
          </cell>
          <cell r="G61">
            <v>293858</v>
          </cell>
        </row>
        <row r="62">
          <cell r="A62">
            <v>2024</v>
          </cell>
          <cell r="B62">
            <v>4</v>
          </cell>
          <cell r="D62" t="str">
            <v>Osobní náklady</v>
          </cell>
          <cell r="G62">
            <v>31298</v>
          </cell>
        </row>
        <row r="63">
          <cell r="A63">
            <v>2024</v>
          </cell>
          <cell r="B63">
            <v>4</v>
          </cell>
          <cell r="D63" t="str">
            <v>Osobní náklady</v>
          </cell>
          <cell r="G63">
            <v>1750</v>
          </cell>
        </row>
        <row r="64">
          <cell r="A64">
            <v>2024</v>
          </cell>
          <cell r="B64">
            <v>4</v>
          </cell>
          <cell r="D64" t="str">
            <v>Osobní náklady</v>
          </cell>
          <cell r="G64">
            <v>128314</v>
          </cell>
        </row>
        <row r="65">
          <cell r="A65">
            <v>2024</v>
          </cell>
          <cell r="B65">
            <v>4</v>
          </cell>
          <cell r="D65" t="str">
            <v>Ostatní - nezařazené</v>
          </cell>
          <cell r="G65">
            <v>7</v>
          </cell>
        </row>
        <row r="66">
          <cell r="A66">
            <v>2024</v>
          </cell>
          <cell r="B66">
            <v>4</v>
          </cell>
          <cell r="D66" t="str">
            <v>Ostatní - nezařazené</v>
          </cell>
          <cell r="G66">
            <v>14947</v>
          </cell>
        </row>
        <row r="67">
          <cell r="A67">
            <v>2024</v>
          </cell>
          <cell r="B67">
            <v>4</v>
          </cell>
          <cell r="D67" t="str">
            <v>Ostatní - nezařazené</v>
          </cell>
          <cell r="G67">
            <v>1720</v>
          </cell>
        </row>
        <row r="68">
          <cell r="A68">
            <v>2024</v>
          </cell>
          <cell r="B68">
            <v>4</v>
          </cell>
          <cell r="D68" t="str">
            <v>Ostatní - nezařazené</v>
          </cell>
          <cell r="G68">
            <v>56</v>
          </cell>
        </row>
        <row r="69">
          <cell r="A69">
            <v>2024</v>
          </cell>
          <cell r="B69">
            <v>4</v>
          </cell>
          <cell r="D69" t="str">
            <v>Ostatní - nezařazené</v>
          </cell>
          <cell r="G69">
            <v>2951</v>
          </cell>
        </row>
        <row r="70">
          <cell r="A70">
            <v>2024</v>
          </cell>
          <cell r="B70">
            <v>4</v>
          </cell>
          <cell r="D70" t="str">
            <v>Ostatní - nezařazené</v>
          </cell>
          <cell r="G70">
            <v>1117</v>
          </cell>
        </row>
        <row r="71">
          <cell r="A71">
            <v>2024</v>
          </cell>
          <cell r="B71">
            <v>4</v>
          </cell>
          <cell r="D71" t="str">
            <v>Ostatní - nezařazené</v>
          </cell>
          <cell r="G71">
            <v>2600</v>
          </cell>
        </row>
        <row r="72">
          <cell r="A72">
            <v>2024</v>
          </cell>
          <cell r="B72">
            <v>4</v>
          </cell>
          <cell r="D72" t="str">
            <v>Ostatní - nezařazené</v>
          </cell>
          <cell r="G72">
            <v>7145</v>
          </cell>
        </row>
        <row r="73">
          <cell r="A73">
            <v>2024</v>
          </cell>
          <cell r="B73">
            <v>4</v>
          </cell>
          <cell r="D73" t="str">
            <v>Ostatní - nezařazené</v>
          </cell>
          <cell r="G73">
            <v>2</v>
          </cell>
        </row>
        <row r="74">
          <cell r="A74">
            <v>2024</v>
          </cell>
          <cell r="B74">
            <v>4</v>
          </cell>
          <cell r="D74" t="str">
            <v>Ostatní služby k zakázce</v>
          </cell>
          <cell r="G74">
            <v>24950</v>
          </cell>
        </row>
        <row r="75">
          <cell r="A75">
            <v>2024</v>
          </cell>
          <cell r="B75">
            <v>4</v>
          </cell>
          <cell r="D75" t="str">
            <v>Ostatní spotřeba - auta</v>
          </cell>
          <cell r="G75">
            <v>11923</v>
          </cell>
        </row>
        <row r="76">
          <cell r="A76">
            <v>2024</v>
          </cell>
          <cell r="B76">
            <v>4</v>
          </cell>
          <cell r="D76" t="str">
            <v>Ostatní spotřeba - režie</v>
          </cell>
          <cell r="G76">
            <v>7593</v>
          </cell>
        </row>
        <row r="77">
          <cell r="A77">
            <v>2024</v>
          </cell>
          <cell r="B77">
            <v>4</v>
          </cell>
          <cell r="D77" t="str">
            <v>Ostatní spotřeba - výroba</v>
          </cell>
          <cell r="G77">
            <v>79931</v>
          </cell>
        </row>
        <row r="78">
          <cell r="A78">
            <v>2024</v>
          </cell>
          <cell r="B78">
            <v>4</v>
          </cell>
          <cell r="D78" t="str">
            <v>Parkovné</v>
          </cell>
          <cell r="G78">
            <v>60</v>
          </cell>
        </row>
        <row r="79">
          <cell r="A79">
            <v>2024</v>
          </cell>
          <cell r="B79">
            <v>4</v>
          </cell>
          <cell r="D79" t="str">
            <v>Patenty, certifikace zařízení</v>
          </cell>
          <cell r="G79">
            <v>59782</v>
          </cell>
        </row>
        <row r="80">
          <cell r="A80">
            <v>2024</v>
          </cell>
          <cell r="B80">
            <v>4</v>
          </cell>
          <cell r="D80" t="str">
            <v>PHM</v>
          </cell>
          <cell r="G80">
            <v>4671</v>
          </cell>
        </row>
        <row r="81">
          <cell r="A81">
            <v>2024</v>
          </cell>
          <cell r="B81">
            <v>4</v>
          </cell>
          <cell r="D81" t="str">
            <v>PHM</v>
          </cell>
          <cell r="G81">
            <v>1188</v>
          </cell>
        </row>
        <row r="82">
          <cell r="A82">
            <v>2024</v>
          </cell>
          <cell r="B82">
            <v>4</v>
          </cell>
          <cell r="D82" t="str">
            <v>PHM</v>
          </cell>
          <cell r="G82">
            <v>8452</v>
          </cell>
        </row>
        <row r="83">
          <cell r="A83">
            <v>2024</v>
          </cell>
          <cell r="B83">
            <v>4</v>
          </cell>
          <cell r="D83" t="str">
            <v>PHM</v>
          </cell>
          <cell r="G83">
            <v>7119</v>
          </cell>
        </row>
        <row r="84">
          <cell r="A84">
            <v>2024</v>
          </cell>
          <cell r="B84">
            <v>4</v>
          </cell>
          <cell r="D84" t="str">
            <v>PHM</v>
          </cell>
          <cell r="G84">
            <v>10906</v>
          </cell>
        </row>
        <row r="85">
          <cell r="A85">
            <v>2024</v>
          </cell>
          <cell r="B85">
            <v>4</v>
          </cell>
          <cell r="D85" t="str">
            <v>PHM</v>
          </cell>
          <cell r="G85">
            <v>5293</v>
          </cell>
        </row>
        <row r="86">
          <cell r="A86">
            <v>2024</v>
          </cell>
          <cell r="B86">
            <v>4</v>
          </cell>
          <cell r="D86" t="str">
            <v>PHM</v>
          </cell>
          <cell r="G86">
            <v>1105</v>
          </cell>
        </row>
        <row r="87">
          <cell r="A87">
            <v>2024</v>
          </cell>
          <cell r="B87">
            <v>4</v>
          </cell>
          <cell r="D87" t="str">
            <v>PHM</v>
          </cell>
          <cell r="G87">
            <v>8814</v>
          </cell>
        </row>
        <row r="88">
          <cell r="A88">
            <v>2024</v>
          </cell>
          <cell r="B88">
            <v>4</v>
          </cell>
          <cell r="D88" t="str">
            <v>PHM</v>
          </cell>
          <cell r="G88">
            <v>2554</v>
          </cell>
        </row>
        <row r="89">
          <cell r="A89">
            <v>2024</v>
          </cell>
          <cell r="B89">
            <v>4</v>
          </cell>
          <cell r="D89" t="str">
            <v>PHM</v>
          </cell>
          <cell r="G89">
            <v>8775</v>
          </cell>
        </row>
        <row r="90">
          <cell r="A90">
            <v>2024</v>
          </cell>
          <cell r="B90">
            <v>4</v>
          </cell>
          <cell r="D90" t="str">
            <v>PHM</v>
          </cell>
          <cell r="G90">
            <v>4946</v>
          </cell>
        </row>
        <row r="91">
          <cell r="A91">
            <v>2024</v>
          </cell>
          <cell r="B91">
            <v>4</v>
          </cell>
          <cell r="D91" t="str">
            <v>PHM</v>
          </cell>
          <cell r="G91">
            <v>5514</v>
          </cell>
        </row>
        <row r="92">
          <cell r="A92">
            <v>2024</v>
          </cell>
          <cell r="B92">
            <v>4</v>
          </cell>
          <cell r="D92" t="str">
            <v>PHM</v>
          </cell>
          <cell r="G92">
            <v>3565</v>
          </cell>
        </row>
        <row r="93">
          <cell r="A93">
            <v>2024</v>
          </cell>
          <cell r="B93">
            <v>4</v>
          </cell>
          <cell r="D93" t="str">
            <v>PHM</v>
          </cell>
          <cell r="G93">
            <v>8100</v>
          </cell>
        </row>
        <row r="94">
          <cell r="A94">
            <v>2024</v>
          </cell>
          <cell r="B94">
            <v>4</v>
          </cell>
          <cell r="D94" t="str">
            <v>Plyn na svařování</v>
          </cell>
          <cell r="G94">
            <v>42250</v>
          </cell>
        </row>
        <row r="95">
          <cell r="A95">
            <v>2024</v>
          </cell>
          <cell r="B95">
            <v>4</v>
          </cell>
          <cell r="D95" t="str">
            <v>Plyn na svařování</v>
          </cell>
          <cell r="G95">
            <v>14022</v>
          </cell>
        </row>
        <row r="96">
          <cell r="A96">
            <v>2024</v>
          </cell>
          <cell r="B96">
            <v>4</v>
          </cell>
          <cell r="D96" t="str">
            <v>Pojištění vozidel</v>
          </cell>
          <cell r="G96">
            <v>1418</v>
          </cell>
        </row>
        <row r="97">
          <cell r="A97">
            <v>2024</v>
          </cell>
          <cell r="B97">
            <v>4</v>
          </cell>
          <cell r="D97" t="str">
            <v>Pojištění zaměstnanců</v>
          </cell>
          <cell r="G97">
            <v>2381</v>
          </cell>
        </row>
        <row r="98">
          <cell r="A98">
            <v>2024</v>
          </cell>
          <cell r="B98">
            <v>4</v>
          </cell>
          <cell r="D98" t="str">
            <v>POLOTOVARY VLASTNÍ VÝROBY</v>
          </cell>
          <cell r="G98">
            <v>1009426</v>
          </cell>
        </row>
        <row r="99">
          <cell r="A99">
            <v>2024</v>
          </cell>
          <cell r="B99">
            <v>4</v>
          </cell>
          <cell r="D99" t="str">
            <v>Poradenství (právní, dotační)</v>
          </cell>
          <cell r="G99">
            <v>855</v>
          </cell>
        </row>
        <row r="100">
          <cell r="A100">
            <v>2024</v>
          </cell>
          <cell r="B100">
            <v>4</v>
          </cell>
          <cell r="D100" t="str">
            <v>Pořízení materiálu</v>
          </cell>
          <cell r="G100">
            <v>21996637</v>
          </cell>
        </row>
        <row r="101">
          <cell r="A101">
            <v>2024</v>
          </cell>
          <cell r="B101">
            <v>4</v>
          </cell>
          <cell r="D101" t="str">
            <v>Poskytnuté nepeněžité dary</v>
          </cell>
          <cell r="G101">
            <v>5000</v>
          </cell>
        </row>
        <row r="102">
          <cell r="A102">
            <v>2024</v>
          </cell>
          <cell r="B102">
            <v>4</v>
          </cell>
          <cell r="D102" t="str">
            <v>Poštovné</v>
          </cell>
          <cell r="G102">
            <v>1053</v>
          </cell>
        </row>
        <row r="103">
          <cell r="A103">
            <v>2024</v>
          </cell>
          <cell r="B103">
            <v>4</v>
          </cell>
          <cell r="D103" t="str">
            <v>Pronájem Bezručova</v>
          </cell>
          <cell r="G103">
            <v>30300</v>
          </cell>
        </row>
        <row r="104">
          <cell r="A104">
            <v>2024</v>
          </cell>
          <cell r="B104">
            <v>4</v>
          </cell>
          <cell r="D104" t="str">
            <v>Propagace, reklama</v>
          </cell>
          <cell r="G104">
            <v>12175</v>
          </cell>
        </row>
        <row r="105">
          <cell r="A105">
            <v>2024</v>
          </cell>
          <cell r="B105">
            <v>4</v>
          </cell>
          <cell r="D105" t="str">
            <v>Propagační předměty (do 500,- Kč/ks)</v>
          </cell>
          <cell r="G105">
            <v>15357</v>
          </cell>
        </row>
        <row r="106">
          <cell r="A106">
            <v>2024</v>
          </cell>
          <cell r="B106">
            <v>4</v>
          </cell>
          <cell r="D106" t="str">
            <v>Rozpracovaná výroba</v>
          </cell>
          <cell r="G106">
            <v>1756064</v>
          </cell>
        </row>
        <row r="107">
          <cell r="A107">
            <v>2024</v>
          </cell>
          <cell r="B107">
            <v>4</v>
          </cell>
          <cell r="D107" t="str">
            <v>Rozpracovaná výroba</v>
          </cell>
          <cell r="G107">
            <v>-148859.49</v>
          </cell>
        </row>
        <row r="108">
          <cell r="A108">
            <v>2024</v>
          </cell>
          <cell r="B108">
            <v>4</v>
          </cell>
          <cell r="D108" t="str">
            <v>Rozpracovaná výroba</v>
          </cell>
          <cell r="G108">
            <v>-137719.91</v>
          </cell>
        </row>
        <row r="109">
          <cell r="A109">
            <v>2024</v>
          </cell>
          <cell r="B109">
            <v>4</v>
          </cell>
          <cell r="D109" t="str">
            <v>Rozpracovaná výroba</v>
          </cell>
          <cell r="G109">
            <v>-5245293.4800000004</v>
          </cell>
        </row>
        <row r="110">
          <cell r="A110">
            <v>2024</v>
          </cell>
          <cell r="B110">
            <v>4</v>
          </cell>
          <cell r="D110" t="str">
            <v>Řezání vodním paprskem</v>
          </cell>
          <cell r="G110">
            <v>166250</v>
          </cell>
        </row>
        <row r="111">
          <cell r="A111">
            <v>2024</v>
          </cell>
          <cell r="B111">
            <v>4</v>
          </cell>
          <cell r="D111" t="str">
            <v>Savý textil</v>
          </cell>
          <cell r="G111">
            <v>744</v>
          </cell>
        </row>
        <row r="112">
          <cell r="A112">
            <v>2024</v>
          </cell>
          <cell r="B112">
            <v>4</v>
          </cell>
          <cell r="D112" t="str">
            <v>SERVIS</v>
          </cell>
          <cell r="G112">
            <v>380081</v>
          </cell>
        </row>
        <row r="113">
          <cell r="A113">
            <v>2024</v>
          </cell>
          <cell r="B113">
            <v>4</v>
          </cell>
          <cell r="D113" t="str">
            <v>SKLAD HOTOVÁ ZAŘÍZENÍ</v>
          </cell>
          <cell r="G113">
            <v>10183001</v>
          </cell>
        </row>
        <row r="114">
          <cell r="A114">
            <v>2024</v>
          </cell>
          <cell r="B114">
            <v>4</v>
          </cell>
          <cell r="D114" t="str">
            <v>Sklad NAKUPOVANÝCH DÍLU</v>
          </cell>
          <cell r="G114">
            <v>15001550</v>
          </cell>
        </row>
        <row r="115">
          <cell r="A115">
            <v>2024</v>
          </cell>
          <cell r="B115">
            <v>4</v>
          </cell>
          <cell r="D115" t="str">
            <v>SKLAD PAPRSEK</v>
          </cell>
          <cell r="G115">
            <v>71132</v>
          </cell>
        </row>
        <row r="116">
          <cell r="A116">
            <v>2024</v>
          </cell>
          <cell r="B116">
            <v>4</v>
          </cell>
          <cell r="D116" t="str">
            <v>Software, www stránky</v>
          </cell>
          <cell r="G116">
            <v>192623</v>
          </cell>
        </row>
        <row r="117">
          <cell r="A117">
            <v>2024</v>
          </cell>
          <cell r="B117">
            <v>4</v>
          </cell>
          <cell r="D117" t="str">
            <v>Svařovací materiál</v>
          </cell>
          <cell r="G117">
            <v>21187</v>
          </cell>
        </row>
        <row r="118">
          <cell r="A118">
            <v>2024</v>
          </cell>
          <cell r="B118">
            <v>4</v>
          </cell>
          <cell r="D118" t="str">
            <v>Telefon, internet</v>
          </cell>
          <cell r="G118">
            <v>33307</v>
          </cell>
        </row>
        <row r="119">
          <cell r="A119">
            <v>2024</v>
          </cell>
          <cell r="B119">
            <v>4</v>
          </cell>
          <cell r="D119" t="str">
            <v>Tržby z prodeje materiálu + majetku</v>
          </cell>
          <cell r="G119">
            <v>11267</v>
          </cell>
        </row>
        <row r="120">
          <cell r="A120">
            <v>2024</v>
          </cell>
          <cell r="B120">
            <v>4</v>
          </cell>
          <cell r="D120" t="str">
            <v>Tržby za ND servis</v>
          </cell>
          <cell r="G120">
            <v>2065784</v>
          </cell>
        </row>
        <row r="121">
          <cell r="A121">
            <v>2024</v>
          </cell>
          <cell r="B121">
            <v>4</v>
          </cell>
          <cell r="D121" t="str">
            <v>Tržby za vlastní výrobky + zboží</v>
          </cell>
          <cell r="G121">
            <v>12738031</v>
          </cell>
        </row>
        <row r="122">
          <cell r="A122">
            <v>2024</v>
          </cell>
          <cell r="B122">
            <v>4</v>
          </cell>
          <cell r="D122" t="str">
            <v>Tržby za vlastní výrobky + zboží</v>
          </cell>
          <cell r="G122">
            <v>4119473</v>
          </cell>
        </row>
        <row r="123">
          <cell r="A123">
            <v>2024</v>
          </cell>
          <cell r="B123">
            <v>4</v>
          </cell>
          <cell r="D123" t="str">
            <v>Účetní, dańové poradenství</v>
          </cell>
          <cell r="G123">
            <v>73256</v>
          </cell>
        </row>
        <row r="124">
          <cell r="A124">
            <v>2024</v>
          </cell>
          <cell r="B124">
            <v>4</v>
          </cell>
          <cell r="D124" t="str">
            <v>Úklid budovy</v>
          </cell>
          <cell r="G124">
            <v>27548</v>
          </cell>
        </row>
        <row r="125">
          <cell r="A125">
            <v>2024</v>
          </cell>
          <cell r="B125">
            <v>4</v>
          </cell>
          <cell r="D125" t="str">
            <v>Vybavení kanceláří</v>
          </cell>
          <cell r="G125">
            <v>1151</v>
          </cell>
        </row>
        <row r="126">
          <cell r="A126">
            <v>2024</v>
          </cell>
          <cell r="B126">
            <v>4</v>
          </cell>
          <cell r="D126" t="str">
            <v>Výdej materiálu + zboží ze skladu</v>
          </cell>
          <cell r="G126">
            <v>49764</v>
          </cell>
        </row>
        <row r="127">
          <cell r="A127">
            <v>2024</v>
          </cell>
          <cell r="B127">
            <v>4</v>
          </cell>
          <cell r="D127" t="str">
            <v>Výdej materiálu + zboží ze skladu</v>
          </cell>
          <cell r="G127">
            <v>-6397684</v>
          </cell>
        </row>
        <row r="128">
          <cell r="A128">
            <v>2024</v>
          </cell>
          <cell r="B128">
            <v>4</v>
          </cell>
          <cell r="D128" t="str">
            <v>Výdej materiálu + zboží ze skladu</v>
          </cell>
          <cell r="G128">
            <v>600</v>
          </cell>
        </row>
        <row r="129">
          <cell r="A129">
            <v>2024</v>
          </cell>
          <cell r="B129">
            <v>4</v>
          </cell>
          <cell r="D129" t="str">
            <v>Výrobní stroje</v>
          </cell>
          <cell r="G129">
            <v>8991</v>
          </cell>
        </row>
        <row r="130">
          <cell r="A130">
            <v>2024</v>
          </cell>
          <cell r="B130">
            <v>5</v>
          </cell>
          <cell r="D130" t="str">
            <v>BOZP, PO, revize</v>
          </cell>
          <cell r="G130">
            <v>2550</v>
          </cell>
        </row>
        <row r="131">
          <cell r="A131">
            <v>2024</v>
          </cell>
          <cell r="B131">
            <v>5</v>
          </cell>
          <cell r="D131" t="str">
            <v>Budova, venkovní prostory</v>
          </cell>
          <cell r="G131">
            <v>5600</v>
          </cell>
        </row>
        <row r="132">
          <cell r="A132">
            <v>2024</v>
          </cell>
          <cell r="B132">
            <v>5</v>
          </cell>
          <cell r="D132" t="str">
            <v>Celní služby</v>
          </cell>
          <cell r="G132">
            <v>17105</v>
          </cell>
        </row>
        <row r="133">
          <cell r="A133">
            <v>2024</v>
          </cell>
          <cell r="B133">
            <v>5</v>
          </cell>
          <cell r="D133" t="str">
            <v>Cestovné</v>
          </cell>
          <cell r="G133">
            <v>16204</v>
          </cell>
        </row>
        <row r="134">
          <cell r="A134">
            <v>2024</v>
          </cell>
          <cell r="B134">
            <v>5</v>
          </cell>
          <cell r="D134" t="str">
            <v>Cestovné</v>
          </cell>
          <cell r="G134">
            <v>64332</v>
          </cell>
        </row>
        <row r="135">
          <cell r="A135">
            <v>2024</v>
          </cell>
          <cell r="B135">
            <v>5</v>
          </cell>
          <cell r="D135" t="str">
            <v>Cestovné</v>
          </cell>
          <cell r="G135">
            <v>55660</v>
          </cell>
        </row>
        <row r="136">
          <cell r="A136">
            <v>2024</v>
          </cell>
          <cell r="B136">
            <v>5</v>
          </cell>
          <cell r="D136" t="str">
            <v>Cestovné</v>
          </cell>
          <cell r="G136">
            <v>1620</v>
          </cell>
        </row>
        <row r="137">
          <cell r="A137">
            <v>2024</v>
          </cell>
          <cell r="B137">
            <v>5</v>
          </cell>
          <cell r="D137" t="str">
            <v>Daně a poplatky</v>
          </cell>
          <cell r="G137">
            <v>62687</v>
          </cell>
        </row>
        <row r="138">
          <cell r="A138">
            <v>2024</v>
          </cell>
          <cell r="B138">
            <v>5</v>
          </cell>
          <cell r="D138" t="str">
            <v>Daně a poplatky</v>
          </cell>
          <cell r="G138">
            <v>296</v>
          </cell>
        </row>
        <row r="139">
          <cell r="A139">
            <v>2024</v>
          </cell>
          <cell r="B139">
            <v>5</v>
          </cell>
          <cell r="D139" t="str">
            <v>Daně a poplatky</v>
          </cell>
          <cell r="G139">
            <v>1495</v>
          </cell>
        </row>
        <row r="140">
          <cell r="A140">
            <v>2024</v>
          </cell>
          <cell r="B140">
            <v>5</v>
          </cell>
          <cell r="D140" t="str">
            <v>Dekorační předměty, údržba zeleně</v>
          </cell>
          <cell r="G140">
            <v>5978</v>
          </cell>
        </row>
        <row r="141">
          <cell r="A141">
            <v>2024</v>
          </cell>
          <cell r="B141">
            <v>5</v>
          </cell>
          <cell r="D141" t="str">
            <v>Doprava</v>
          </cell>
          <cell r="G141">
            <v>143600</v>
          </cell>
        </row>
        <row r="142">
          <cell r="A142">
            <v>2024</v>
          </cell>
          <cell r="B142">
            <v>5</v>
          </cell>
          <cell r="D142" t="str">
            <v>Drobný HIM - nářadí</v>
          </cell>
          <cell r="G142">
            <v>23439</v>
          </cell>
        </row>
        <row r="143">
          <cell r="A143">
            <v>2024</v>
          </cell>
          <cell r="B143">
            <v>5</v>
          </cell>
          <cell r="D143" t="str">
            <v>Elektrická energie</v>
          </cell>
          <cell r="G143">
            <v>36810</v>
          </cell>
        </row>
        <row r="144">
          <cell r="A144">
            <v>2024</v>
          </cell>
          <cell r="B144">
            <v>5</v>
          </cell>
          <cell r="D144" t="str">
            <v>Finanční náklady</v>
          </cell>
          <cell r="G144">
            <v>1828</v>
          </cell>
        </row>
        <row r="145">
          <cell r="A145">
            <v>2024</v>
          </cell>
          <cell r="B145">
            <v>5</v>
          </cell>
          <cell r="D145" t="str">
            <v>Finanční náklady</v>
          </cell>
          <cell r="G145">
            <v>7584</v>
          </cell>
        </row>
        <row r="146">
          <cell r="A146">
            <v>2024</v>
          </cell>
          <cell r="B146">
            <v>5</v>
          </cell>
          <cell r="D146" t="str">
            <v>Finanční náklady</v>
          </cell>
          <cell r="G146">
            <v>148105</v>
          </cell>
        </row>
        <row r="147">
          <cell r="A147">
            <v>2024</v>
          </cell>
          <cell r="B147">
            <v>5</v>
          </cell>
          <cell r="D147" t="str">
            <v>Finanční náklady</v>
          </cell>
          <cell r="G147">
            <v>9802</v>
          </cell>
        </row>
        <row r="148">
          <cell r="A148">
            <v>2024</v>
          </cell>
          <cell r="B148">
            <v>5</v>
          </cell>
          <cell r="D148" t="str">
            <v>Finanční náklady</v>
          </cell>
          <cell r="G148">
            <v>35336</v>
          </cell>
        </row>
        <row r="149">
          <cell r="A149">
            <v>2024</v>
          </cell>
          <cell r="B149">
            <v>5</v>
          </cell>
          <cell r="D149" t="str">
            <v>Finanční výnosy</v>
          </cell>
          <cell r="G149">
            <v>191330</v>
          </cell>
        </row>
        <row r="150">
          <cell r="A150">
            <v>2024</v>
          </cell>
          <cell r="B150">
            <v>5</v>
          </cell>
          <cell r="D150" t="str">
            <v>Finanční výnosy</v>
          </cell>
          <cell r="G150">
            <v>55136</v>
          </cell>
        </row>
        <row r="151">
          <cell r="A151">
            <v>2024</v>
          </cell>
          <cell r="B151">
            <v>5</v>
          </cell>
          <cell r="D151" t="str">
            <v>FVE</v>
          </cell>
          <cell r="G151">
            <v>-80633</v>
          </cell>
        </row>
        <row r="152">
          <cell r="A152">
            <v>2024</v>
          </cell>
          <cell r="B152">
            <v>5</v>
          </cell>
          <cell r="D152" t="str">
            <v>FVE</v>
          </cell>
          <cell r="G152">
            <v>384952</v>
          </cell>
        </row>
        <row r="153">
          <cell r="A153">
            <v>2024</v>
          </cell>
          <cell r="B153">
            <v>5</v>
          </cell>
          <cell r="D153" t="str">
            <v>Inzerce</v>
          </cell>
          <cell r="G153">
            <v>22000</v>
          </cell>
        </row>
        <row r="154">
          <cell r="A154">
            <v>2024</v>
          </cell>
          <cell r="B154">
            <v>5</v>
          </cell>
          <cell r="D154" t="str">
            <v>Kooperace I</v>
          </cell>
          <cell r="G154">
            <v>2059603</v>
          </cell>
        </row>
        <row r="155">
          <cell r="A155">
            <v>2024</v>
          </cell>
          <cell r="B155">
            <v>5</v>
          </cell>
          <cell r="D155" t="str">
            <v>Kooperace II</v>
          </cell>
          <cell r="G155">
            <v>259965</v>
          </cell>
        </row>
        <row r="156">
          <cell r="A156">
            <v>2024</v>
          </cell>
          <cell r="B156">
            <v>5</v>
          </cell>
          <cell r="D156" t="str">
            <v>Likvidace odpadu</v>
          </cell>
          <cell r="G156">
            <v>5494</v>
          </cell>
        </row>
        <row r="157">
          <cell r="A157">
            <v>2024</v>
          </cell>
          <cell r="B157">
            <v>5</v>
          </cell>
          <cell r="D157" t="str">
            <v>Mycí, čistící, desinfekční prostředky</v>
          </cell>
          <cell r="G157">
            <v>412</v>
          </cell>
        </row>
        <row r="158">
          <cell r="A158">
            <v>2024</v>
          </cell>
          <cell r="B158">
            <v>5</v>
          </cell>
          <cell r="D158" t="str">
            <v>Nájemné</v>
          </cell>
          <cell r="G158">
            <v>33130</v>
          </cell>
        </row>
        <row r="159">
          <cell r="A159">
            <v>2024</v>
          </cell>
          <cell r="B159">
            <v>5</v>
          </cell>
          <cell r="D159" t="str">
            <v>Nedokončená výroba</v>
          </cell>
          <cell r="G159">
            <v>6145996</v>
          </cell>
        </row>
        <row r="160">
          <cell r="A160">
            <v>2024</v>
          </cell>
          <cell r="B160">
            <v>5</v>
          </cell>
          <cell r="D160" t="str">
            <v>Obalový materiál - krabice, palety</v>
          </cell>
          <cell r="G160">
            <v>7212</v>
          </cell>
        </row>
        <row r="161">
          <cell r="A161">
            <v>2024</v>
          </cell>
          <cell r="B161">
            <v>5</v>
          </cell>
          <cell r="D161" t="str">
            <v>Obalový materiál - krabice, palety</v>
          </cell>
          <cell r="G161">
            <v>6830</v>
          </cell>
        </row>
        <row r="162">
          <cell r="A162">
            <v>2024</v>
          </cell>
          <cell r="B162">
            <v>5</v>
          </cell>
          <cell r="D162" t="str">
            <v>Obalový materiál - zámořské balení</v>
          </cell>
          <cell r="G162">
            <v>147711</v>
          </cell>
        </row>
        <row r="163">
          <cell r="A163">
            <v>2024</v>
          </cell>
          <cell r="B163">
            <v>5</v>
          </cell>
          <cell r="D163" t="str">
            <v>Občerstvení - kuchyňka, kantýna</v>
          </cell>
          <cell r="G163">
            <v>765</v>
          </cell>
        </row>
        <row r="164">
          <cell r="A164">
            <v>2024</v>
          </cell>
          <cell r="B164">
            <v>5</v>
          </cell>
          <cell r="D164" t="str">
            <v>Občerstvení pro obchodní partnery</v>
          </cell>
          <cell r="G164">
            <v>22854</v>
          </cell>
        </row>
        <row r="165">
          <cell r="A165">
            <v>2024</v>
          </cell>
          <cell r="B165">
            <v>5</v>
          </cell>
          <cell r="D165" t="str">
            <v>Odpisy</v>
          </cell>
          <cell r="G165">
            <v>433548</v>
          </cell>
        </row>
        <row r="166">
          <cell r="A166">
            <v>2024</v>
          </cell>
          <cell r="B166">
            <v>5</v>
          </cell>
          <cell r="D166" t="str">
            <v>Odpisy</v>
          </cell>
          <cell r="G166">
            <v>21917</v>
          </cell>
        </row>
        <row r="167">
          <cell r="A167">
            <v>2024</v>
          </cell>
          <cell r="B167">
            <v>5</v>
          </cell>
          <cell r="D167" t="str">
            <v>Odpisy</v>
          </cell>
          <cell r="G167">
            <v>875</v>
          </cell>
        </row>
        <row r="168">
          <cell r="A168">
            <v>2024</v>
          </cell>
          <cell r="B168">
            <v>5</v>
          </cell>
          <cell r="D168" t="str">
            <v>Odpisy</v>
          </cell>
          <cell r="G168">
            <v>45315</v>
          </cell>
        </row>
        <row r="169">
          <cell r="A169">
            <v>2024</v>
          </cell>
          <cell r="B169">
            <v>5</v>
          </cell>
          <cell r="D169" t="str">
            <v>Odpisy</v>
          </cell>
          <cell r="G169">
            <v>63282</v>
          </cell>
        </row>
        <row r="170">
          <cell r="A170">
            <v>2024</v>
          </cell>
          <cell r="B170">
            <v>5</v>
          </cell>
          <cell r="D170" t="str">
            <v>Odpisy</v>
          </cell>
          <cell r="G170">
            <v>7163</v>
          </cell>
        </row>
        <row r="171">
          <cell r="A171">
            <v>2024</v>
          </cell>
          <cell r="B171">
            <v>5</v>
          </cell>
          <cell r="D171" t="str">
            <v>Odpisy</v>
          </cell>
          <cell r="G171">
            <v>5883083</v>
          </cell>
        </row>
        <row r="172">
          <cell r="A172">
            <v>2024</v>
          </cell>
          <cell r="B172">
            <v>5</v>
          </cell>
          <cell r="D172" t="str">
            <v>Odpisy</v>
          </cell>
          <cell r="G172">
            <v>2020140</v>
          </cell>
        </row>
        <row r="173">
          <cell r="A173">
            <v>2024</v>
          </cell>
          <cell r="B173">
            <v>5</v>
          </cell>
          <cell r="D173" t="str">
            <v>OOPP + BOZP vybavení</v>
          </cell>
          <cell r="G173">
            <v>34226</v>
          </cell>
        </row>
        <row r="174">
          <cell r="A174">
            <v>2024</v>
          </cell>
          <cell r="B174">
            <v>5</v>
          </cell>
          <cell r="D174" t="str">
            <v>Opravná položka k materiálu</v>
          </cell>
          <cell r="G174">
            <v>5883083</v>
          </cell>
        </row>
        <row r="175">
          <cell r="A175">
            <v>2024</v>
          </cell>
          <cell r="B175">
            <v>5</v>
          </cell>
          <cell r="D175" t="str">
            <v>Opravy a údržba vozidel</v>
          </cell>
          <cell r="G175">
            <v>3314</v>
          </cell>
        </row>
        <row r="176">
          <cell r="A176">
            <v>2024</v>
          </cell>
          <cell r="B176">
            <v>5</v>
          </cell>
          <cell r="D176" t="str">
            <v>Opravy a údržba vozidel</v>
          </cell>
          <cell r="G176">
            <v>1635</v>
          </cell>
        </row>
        <row r="177">
          <cell r="A177">
            <v>2024</v>
          </cell>
          <cell r="B177">
            <v>5</v>
          </cell>
          <cell r="D177" t="str">
            <v>Opravy a údržba vozidel</v>
          </cell>
          <cell r="G177">
            <v>57</v>
          </cell>
        </row>
        <row r="178">
          <cell r="A178">
            <v>2024</v>
          </cell>
          <cell r="B178">
            <v>5</v>
          </cell>
          <cell r="D178" t="str">
            <v>Opravy a údržba vozidel</v>
          </cell>
          <cell r="G178">
            <v>645</v>
          </cell>
        </row>
        <row r="179">
          <cell r="A179">
            <v>2024</v>
          </cell>
          <cell r="B179">
            <v>5</v>
          </cell>
          <cell r="D179" t="str">
            <v>Opravy a údržba vozidel</v>
          </cell>
          <cell r="G179">
            <v>9450</v>
          </cell>
        </row>
        <row r="180">
          <cell r="A180">
            <v>2024</v>
          </cell>
          <cell r="B180">
            <v>5</v>
          </cell>
          <cell r="D180" t="str">
            <v>Opravy a údržba vozidel</v>
          </cell>
          <cell r="G180">
            <v>4931</v>
          </cell>
        </row>
        <row r="181">
          <cell r="A181">
            <v>2024</v>
          </cell>
          <cell r="B181">
            <v>5</v>
          </cell>
          <cell r="D181" t="str">
            <v>Opravy a údržba vozidel</v>
          </cell>
          <cell r="G181">
            <v>1021</v>
          </cell>
        </row>
        <row r="182">
          <cell r="A182">
            <v>2024</v>
          </cell>
          <cell r="B182">
            <v>5</v>
          </cell>
          <cell r="D182" t="str">
            <v>Opravy a údržba vozidel</v>
          </cell>
          <cell r="G182">
            <v>40326</v>
          </cell>
        </row>
        <row r="183">
          <cell r="A183">
            <v>2024</v>
          </cell>
          <cell r="B183">
            <v>5</v>
          </cell>
          <cell r="D183" t="str">
            <v>Opravy a údržba vozidel</v>
          </cell>
          <cell r="G183">
            <v>19309</v>
          </cell>
        </row>
        <row r="184">
          <cell r="A184">
            <v>2024</v>
          </cell>
          <cell r="B184">
            <v>5</v>
          </cell>
          <cell r="D184" t="str">
            <v>Opravy a údržba vozidel</v>
          </cell>
          <cell r="G184">
            <v>2557</v>
          </cell>
        </row>
        <row r="185">
          <cell r="A185">
            <v>2024</v>
          </cell>
          <cell r="B185">
            <v>5</v>
          </cell>
          <cell r="D185" t="str">
            <v>Opravy a údržba vozidel</v>
          </cell>
          <cell r="G185">
            <v>438</v>
          </cell>
        </row>
        <row r="186">
          <cell r="A186">
            <v>2024</v>
          </cell>
          <cell r="B186">
            <v>5</v>
          </cell>
          <cell r="D186" t="str">
            <v>Opravy a údržba vozidel</v>
          </cell>
          <cell r="G186">
            <v>189</v>
          </cell>
        </row>
        <row r="187">
          <cell r="A187">
            <v>2024</v>
          </cell>
          <cell r="B187">
            <v>5</v>
          </cell>
          <cell r="D187" t="str">
            <v>Opravy, servisy, montáže</v>
          </cell>
          <cell r="G187">
            <v>432011</v>
          </cell>
        </row>
        <row r="188">
          <cell r="A188">
            <v>2024</v>
          </cell>
          <cell r="B188">
            <v>5</v>
          </cell>
          <cell r="D188" t="str">
            <v>Osobní náklady</v>
          </cell>
          <cell r="G188">
            <v>3206179</v>
          </cell>
        </row>
        <row r="189">
          <cell r="A189">
            <v>2024</v>
          </cell>
          <cell r="B189">
            <v>5</v>
          </cell>
          <cell r="D189" t="str">
            <v>Osobní náklady</v>
          </cell>
          <cell r="G189">
            <v>122070</v>
          </cell>
        </row>
        <row r="190">
          <cell r="A190">
            <v>2024</v>
          </cell>
          <cell r="B190">
            <v>5</v>
          </cell>
          <cell r="D190" t="str">
            <v>Osobní náklady</v>
          </cell>
          <cell r="G190">
            <v>787081</v>
          </cell>
        </row>
        <row r="191">
          <cell r="A191">
            <v>2024</v>
          </cell>
          <cell r="B191">
            <v>5</v>
          </cell>
          <cell r="D191" t="str">
            <v>Osobní náklady</v>
          </cell>
          <cell r="G191">
            <v>285635</v>
          </cell>
        </row>
        <row r="192">
          <cell r="A192">
            <v>2024</v>
          </cell>
          <cell r="B192">
            <v>5</v>
          </cell>
          <cell r="D192" t="str">
            <v>Osobní náklady</v>
          </cell>
          <cell r="G192">
            <v>28300</v>
          </cell>
        </row>
        <row r="193">
          <cell r="A193">
            <v>2024</v>
          </cell>
          <cell r="B193">
            <v>5</v>
          </cell>
          <cell r="D193" t="str">
            <v>Osobní náklady</v>
          </cell>
          <cell r="G193">
            <v>800</v>
          </cell>
        </row>
        <row r="194">
          <cell r="A194">
            <v>2024</v>
          </cell>
          <cell r="B194">
            <v>5</v>
          </cell>
          <cell r="D194" t="str">
            <v>Osobní náklady</v>
          </cell>
          <cell r="G194">
            <v>117890</v>
          </cell>
        </row>
        <row r="195">
          <cell r="A195">
            <v>2024</v>
          </cell>
          <cell r="B195">
            <v>5</v>
          </cell>
          <cell r="D195" t="str">
            <v>Ostatní - nezařazené</v>
          </cell>
          <cell r="G195">
            <v>6</v>
          </cell>
        </row>
        <row r="196">
          <cell r="A196">
            <v>2024</v>
          </cell>
          <cell r="B196">
            <v>5</v>
          </cell>
          <cell r="D196" t="str">
            <v>Ostatní - nezařazené</v>
          </cell>
          <cell r="G196">
            <v>44685</v>
          </cell>
        </row>
        <row r="197">
          <cell r="A197">
            <v>2024</v>
          </cell>
          <cell r="B197">
            <v>5</v>
          </cell>
          <cell r="D197" t="str">
            <v>Ostatní - nezařazené</v>
          </cell>
          <cell r="G197">
            <v>1764</v>
          </cell>
        </row>
        <row r="198">
          <cell r="A198">
            <v>2024</v>
          </cell>
          <cell r="B198">
            <v>5</v>
          </cell>
          <cell r="D198" t="str">
            <v>Ostatní - nezařazené</v>
          </cell>
          <cell r="G198">
            <v>56</v>
          </cell>
        </row>
        <row r="199">
          <cell r="A199">
            <v>2024</v>
          </cell>
          <cell r="B199">
            <v>5</v>
          </cell>
          <cell r="D199" t="str">
            <v>Ostatní - nezařazené</v>
          </cell>
          <cell r="G199">
            <v>2951</v>
          </cell>
        </row>
        <row r="200">
          <cell r="A200">
            <v>2024</v>
          </cell>
          <cell r="B200">
            <v>5</v>
          </cell>
          <cell r="D200" t="str">
            <v>Ostatní - nezařazené</v>
          </cell>
          <cell r="G200">
            <v>5444</v>
          </cell>
        </row>
        <row r="201">
          <cell r="A201">
            <v>2024</v>
          </cell>
          <cell r="B201">
            <v>5</v>
          </cell>
          <cell r="D201" t="str">
            <v>Ostatní - nezařazené</v>
          </cell>
          <cell r="G201">
            <v>2600</v>
          </cell>
        </row>
        <row r="202">
          <cell r="A202">
            <v>2024</v>
          </cell>
          <cell r="B202">
            <v>5</v>
          </cell>
          <cell r="D202" t="str">
            <v>Ostatní - nezařazené</v>
          </cell>
          <cell r="G202">
            <v>4194</v>
          </cell>
        </row>
        <row r="203">
          <cell r="A203">
            <v>2024</v>
          </cell>
          <cell r="B203">
            <v>5</v>
          </cell>
          <cell r="D203" t="str">
            <v>Ostatní - nezařazené</v>
          </cell>
          <cell r="G203">
            <v>1</v>
          </cell>
        </row>
        <row r="204">
          <cell r="A204">
            <v>2024</v>
          </cell>
          <cell r="B204">
            <v>5</v>
          </cell>
          <cell r="D204" t="str">
            <v>Ostatní služby k zakázce</v>
          </cell>
          <cell r="G204">
            <v>7348</v>
          </cell>
        </row>
        <row r="205">
          <cell r="A205">
            <v>2024</v>
          </cell>
          <cell r="B205">
            <v>5</v>
          </cell>
          <cell r="D205" t="str">
            <v>Ostatní spotřeba - auta</v>
          </cell>
          <cell r="G205">
            <v>29053</v>
          </cell>
        </row>
        <row r="206">
          <cell r="A206">
            <v>2024</v>
          </cell>
          <cell r="B206">
            <v>5</v>
          </cell>
          <cell r="D206" t="str">
            <v>Ostatní spotřeba - režie</v>
          </cell>
          <cell r="G206">
            <v>4279</v>
          </cell>
        </row>
        <row r="207">
          <cell r="A207">
            <v>2024</v>
          </cell>
          <cell r="B207">
            <v>5</v>
          </cell>
          <cell r="D207" t="str">
            <v>Ostatní spotřeba - výroba</v>
          </cell>
          <cell r="G207">
            <v>28928</v>
          </cell>
        </row>
        <row r="208">
          <cell r="A208">
            <v>2024</v>
          </cell>
          <cell r="B208">
            <v>5</v>
          </cell>
          <cell r="D208" t="str">
            <v>Parkovné</v>
          </cell>
          <cell r="G208">
            <v>129</v>
          </cell>
        </row>
        <row r="209">
          <cell r="A209">
            <v>2024</v>
          </cell>
          <cell r="B209">
            <v>5</v>
          </cell>
          <cell r="D209" t="str">
            <v>Patenty, certifikace zařízení</v>
          </cell>
          <cell r="G209">
            <v>96715</v>
          </cell>
        </row>
        <row r="210">
          <cell r="A210">
            <v>2024</v>
          </cell>
          <cell r="B210">
            <v>5</v>
          </cell>
          <cell r="D210" t="str">
            <v>PHM</v>
          </cell>
          <cell r="G210">
            <v>1245</v>
          </cell>
        </row>
        <row r="211">
          <cell r="A211">
            <v>2024</v>
          </cell>
          <cell r="B211">
            <v>5</v>
          </cell>
          <cell r="D211" t="str">
            <v>PHM</v>
          </cell>
          <cell r="G211">
            <v>3862</v>
          </cell>
        </row>
        <row r="212">
          <cell r="A212">
            <v>2024</v>
          </cell>
          <cell r="B212">
            <v>5</v>
          </cell>
          <cell r="D212" t="str">
            <v>PHM</v>
          </cell>
          <cell r="G212">
            <v>1725</v>
          </cell>
        </row>
        <row r="213">
          <cell r="A213">
            <v>2024</v>
          </cell>
          <cell r="B213">
            <v>5</v>
          </cell>
          <cell r="D213" t="str">
            <v>PHM</v>
          </cell>
          <cell r="G213">
            <v>6282</v>
          </cell>
        </row>
        <row r="214">
          <cell r="A214">
            <v>2024</v>
          </cell>
          <cell r="B214">
            <v>5</v>
          </cell>
          <cell r="D214" t="str">
            <v>PHM</v>
          </cell>
          <cell r="G214">
            <v>3102</v>
          </cell>
        </row>
        <row r="215">
          <cell r="A215">
            <v>2024</v>
          </cell>
          <cell r="B215">
            <v>5</v>
          </cell>
          <cell r="D215" t="str">
            <v>PHM</v>
          </cell>
          <cell r="G215">
            <v>8914</v>
          </cell>
        </row>
        <row r="216">
          <cell r="A216">
            <v>2024</v>
          </cell>
          <cell r="B216">
            <v>5</v>
          </cell>
          <cell r="D216" t="str">
            <v>PHM</v>
          </cell>
          <cell r="G216">
            <v>11860</v>
          </cell>
        </row>
        <row r="217">
          <cell r="A217">
            <v>2024</v>
          </cell>
          <cell r="B217">
            <v>5</v>
          </cell>
          <cell r="D217" t="str">
            <v>PHM</v>
          </cell>
          <cell r="G217">
            <v>3882</v>
          </cell>
        </row>
        <row r="218">
          <cell r="A218">
            <v>2024</v>
          </cell>
          <cell r="B218">
            <v>5</v>
          </cell>
          <cell r="D218" t="str">
            <v>PHM</v>
          </cell>
          <cell r="G218">
            <v>3528</v>
          </cell>
        </row>
        <row r="219">
          <cell r="A219">
            <v>2024</v>
          </cell>
          <cell r="B219">
            <v>5</v>
          </cell>
          <cell r="D219" t="str">
            <v>PHM</v>
          </cell>
          <cell r="G219">
            <v>9194</v>
          </cell>
        </row>
        <row r="220">
          <cell r="A220">
            <v>2024</v>
          </cell>
          <cell r="B220">
            <v>5</v>
          </cell>
          <cell r="D220" t="str">
            <v>PHM</v>
          </cell>
          <cell r="G220">
            <v>3755</v>
          </cell>
        </row>
        <row r="221">
          <cell r="A221">
            <v>2024</v>
          </cell>
          <cell r="B221">
            <v>5</v>
          </cell>
          <cell r="D221" t="str">
            <v>PHM</v>
          </cell>
          <cell r="G221">
            <v>6233</v>
          </cell>
        </row>
        <row r="222">
          <cell r="A222">
            <v>2024</v>
          </cell>
          <cell r="B222">
            <v>5</v>
          </cell>
          <cell r="D222" t="str">
            <v>PHM</v>
          </cell>
          <cell r="G222">
            <v>5294</v>
          </cell>
        </row>
        <row r="223">
          <cell r="A223">
            <v>2024</v>
          </cell>
          <cell r="B223">
            <v>5</v>
          </cell>
          <cell r="D223" t="str">
            <v>PHM</v>
          </cell>
          <cell r="G223">
            <v>10169</v>
          </cell>
        </row>
        <row r="224">
          <cell r="A224">
            <v>2024</v>
          </cell>
          <cell r="B224">
            <v>5</v>
          </cell>
          <cell r="D224" t="str">
            <v>PHM</v>
          </cell>
          <cell r="G224">
            <v>3541</v>
          </cell>
        </row>
        <row r="225">
          <cell r="A225">
            <v>2024</v>
          </cell>
          <cell r="B225">
            <v>5</v>
          </cell>
          <cell r="D225" t="str">
            <v>PHM</v>
          </cell>
          <cell r="G225">
            <v>3676</v>
          </cell>
        </row>
        <row r="226">
          <cell r="A226">
            <v>2024</v>
          </cell>
          <cell r="B226">
            <v>5</v>
          </cell>
          <cell r="D226" t="str">
            <v>Plyn na svařování</v>
          </cell>
          <cell r="G226">
            <v>19596</v>
          </cell>
        </row>
        <row r="227">
          <cell r="A227">
            <v>2024</v>
          </cell>
          <cell r="B227">
            <v>5</v>
          </cell>
          <cell r="D227" t="str">
            <v>Plyn na svařování</v>
          </cell>
          <cell r="G227">
            <v>8010</v>
          </cell>
        </row>
        <row r="228">
          <cell r="A228">
            <v>2024</v>
          </cell>
          <cell r="B228">
            <v>5</v>
          </cell>
          <cell r="D228" t="str">
            <v>Pojištění vozidel</v>
          </cell>
          <cell r="G228">
            <v>13026</v>
          </cell>
        </row>
        <row r="229">
          <cell r="A229">
            <v>2024</v>
          </cell>
          <cell r="B229">
            <v>5</v>
          </cell>
          <cell r="D229" t="str">
            <v>Pojištění zaměstnanců</v>
          </cell>
          <cell r="G229">
            <v>1606</v>
          </cell>
        </row>
        <row r="230">
          <cell r="A230">
            <v>2024</v>
          </cell>
          <cell r="B230">
            <v>5</v>
          </cell>
          <cell r="D230" t="str">
            <v>POLOTOVARY VLASTNÍ VÝROBY</v>
          </cell>
          <cell r="G230">
            <v>323388</v>
          </cell>
        </row>
        <row r="231">
          <cell r="A231">
            <v>2024</v>
          </cell>
          <cell r="B231">
            <v>5</v>
          </cell>
          <cell r="D231" t="str">
            <v>Poradenství (právní, dotační)</v>
          </cell>
          <cell r="G231">
            <v>891</v>
          </cell>
        </row>
        <row r="232">
          <cell r="A232">
            <v>2024</v>
          </cell>
          <cell r="B232">
            <v>5</v>
          </cell>
          <cell r="D232" t="str">
            <v>Poradenství (právní, dotační)</v>
          </cell>
          <cell r="G232">
            <v>60960</v>
          </cell>
        </row>
        <row r="233">
          <cell r="A233">
            <v>2024</v>
          </cell>
          <cell r="B233">
            <v>5</v>
          </cell>
          <cell r="D233" t="str">
            <v>Pořízení materiálu</v>
          </cell>
          <cell r="G233">
            <v>7042320</v>
          </cell>
        </row>
        <row r="234">
          <cell r="A234">
            <v>2024</v>
          </cell>
          <cell r="B234">
            <v>5</v>
          </cell>
          <cell r="D234" t="str">
            <v>Poštovné</v>
          </cell>
          <cell r="G234">
            <v>685</v>
          </cell>
        </row>
        <row r="235">
          <cell r="A235">
            <v>2024</v>
          </cell>
          <cell r="B235">
            <v>5</v>
          </cell>
          <cell r="D235" t="str">
            <v>Pronájem Bezručova</v>
          </cell>
          <cell r="G235">
            <v>30300</v>
          </cell>
        </row>
        <row r="236">
          <cell r="A236">
            <v>2024</v>
          </cell>
          <cell r="B236">
            <v>5</v>
          </cell>
          <cell r="D236" t="str">
            <v>Pronájem plynových lahví</v>
          </cell>
          <cell r="G236">
            <v>9181</v>
          </cell>
        </row>
        <row r="237">
          <cell r="A237">
            <v>2024</v>
          </cell>
          <cell r="B237">
            <v>5</v>
          </cell>
          <cell r="D237" t="str">
            <v>Propagace, reklama</v>
          </cell>
          <cell r="G237">
            <v>90000</v>
          </cell>
        </row>
        <row r="238">
          <cell r="A238">
            <v>2024</v>
          </cell>
          <cell r="B238">
            <v>5</v>
          </cell>
          <cell r="D238" t="str">
            <v>Propagační předměty (do 500,- Kč/ks)</v>
          </cell>
          <cell r="G238">
            <v>82585</v>
          </cell>
        </row>
        <row r="239">
          <cell r="A239">
            <v>2024</v>
          </cell>
          <cell r="B239">
            <v>5</v>
          </cell>
          <cell r="D239" t="str">
            <v>Provize za zprostředkování obchodu</v>
          </cell>
          <cell r="G239">
            <v>58436</v>
          </cell>
        </row>
        <row r="240">
          <cell r="A240">
            <v>2024</v>
          </cell>
          <cell r="B240">
            <v>5</v>
          </cell>
          <cell r="D240" t="str">
            <v>Rozpracovaná výroba</v>
          </cell>
          <cell r="G240">
            <v>-6145996</v>
          </cell>
        </row>
        <row r="241">
          <cell r="A241">
            <v>2024</v>
          </cell>
          <cell r="B241">
            <v>5</v>
          </cell>
          <cell r="D241" t="str">
            <v>Rozpracovaná výroba</v>
          </cell>
          <cell r="G241">
            <v>323387.90000000002</v>
          </cell>
        </row>
        <row r="242">
          <cell r="A242">
            <v>2024</v>
          </cell>
          <cell r="B242">
            <v>5</v>
          </cell>
          <cell r="D242" t="str">
            <v>Rozpracovaná výroba</v>
          </cell>
          <cell r="G242">
            <v>341573.82</v>
          </cell>
        </row>
        <row r="243">
          <cell r="A243">
            <v>2024</v>
          </cell>
          <cell r="B243">
            <v>5</v>
          </cell>
          <cell r="D243" t="str">
            <v>Rozpracovaná výroba</v>
          </cell>
          <cell r="G243">
            <v>7716920.9400000004</v>
          </cell>
        </row>
        <row r="244">
          <cell r="A244">
            <v>2024</v>
          </cell>
          <cell r="B244">
            <v>5</v>
          </cell>
          <cell r="D244" t="str">
            <v>Řezání vodním paprskem</v>
          </cell>
          <cell r="G244">
            <v>235301</v>
          </cell>
        </row>
        <row r="245">
          <cell r="A245">
            <v>2024</v>
          </cell>
          <cell r="B245">
            <v>5</v>
          </cell>
          <cell r="D245" t="str">
            <v>SERVIS</v>
          </cell>
          <cell r="G245">
            <v>341574</v>
          </cell>
        </row>
        <row r="246">
          <cell r="A246">
            <v>2024</v>
          </cell>
          <cell r="B246">
            <v>5</v>
          </cell>
          <cell r="D246" t="str">
            <v>SKLAD HOTOVÁ ZAŘÍZENÍ</v>
          </cell>
          <cell r="G246">
            <v>7619435</v>
          </cell>
        </row>
        <row r="247">
          <cell r="A247">
            <v>2024</v>
          </cell>
          <cell r="B247">
            <v>5</v>
          </cell>
          <cell r="D247" t="str">
            <v>Sklad NAKUPOVANÝCH DÍLU</v>
          </cell>
          <cell r="G247">
            <v>-3098770</v>
          </cell>
        </row>
        <row r="248">
          <cell r="A248">
            <v>2024</v>
          </cell>
          <cell r="B248">
            <v>5</v>
          </cell>
          <cell r="D248" t="str">
            <v>Software, www stránky</v>
          </cell>
          <cell r="G248">
            <v>121196</v>
          </cell>
        </row>
        <row r="249">
          <cell r="A249">
            <v>2024</v>
          </cell>
          <cell r="B249">
            <v>5</v>
          </cell>
          <cell r="D249" t="str">
            <v>Svařovací materiál</v>
          </cell>
          <cell r="G249">
            <v>12585</v>
          </cell>
        </row>
        <row r="250">
          <cell r="A250">
            <v>2024</v>
          </cell>
          <cell r="B250">
            <v>5</v>
          </cell>
          <cell r="D250" t="str">
            <v>Telefon, internet</v>
          </cell>
          <cell r="G250">
            <v>32666</v>
          </cell>
        </row>
        <row r="251">
          <cell r="A251">
            <v>2024</v>
          </cell>
          <cell r="B251">
            <v>5</v>
          </cell>
          <cell r="D251" t="str">
            <v>Tržby z prodeje materiálu + majetku</v>
          </cell>
          <cell r="G251">
            <v>18182</v>
          </cell>
        </row>
        <row r="252">
          <cell r="A252">
            <v>2024</v>
          </cell>
          <cell r="B252">
            <v>5</v>
          </cell>
          <cell r="D252" t="str">
            <v>Tržby z prodeje materiálu + majetku</v>
          </cell>
          <cell r="G252">
            <v>1083</v>
          </cell>
        </row>
        <row r="253">
          <cell r="A253">
            <v>2024</v>
          </cell>
          <cell r="B253">
            <v>5</v>
          </cell>
          <cell r="D253" t="str">
            <v>Tržby za ND servis</v>
          </cell>
          <cell r="G253">
            <v>1939739</v>
          </cell>
        </row>
        <row r="254">
          <cell r="A254">
            <v>2024</v>
          </cell>
          <cell r="B254">
            <v>5</v>
          </cell>
          <cell r="D254" t="str">
            <v>Tržby za vlastní výrobky + zboží</v>
          </cell>
          <cell r="G254">
            <v>40533958</v>
          </cell>
        </row>
        <row r="255">
          <cell r="A255">
            <v>2024</v>
          </cell>
          <cell r="B255">
            <v>5</v>
          </cell>
          <cell r="D255" t="str">
            <v>Tržby za vlastní výrobky + zboží</v>
          </cell>
          <cell r="G255">
            <v>1731450</v>
          </cell>
        </row>
        <row r="256">
          <cell r="A256">
            <v>2024</v>
          </cell>
          <cell r="B256">
            <v>5</v>
          </cell>
          <cell r="D256" t="str">
            <v>Účetní, dańové poradenství</v>
          </cell>
          <cell r="G256">
            <v>72851</v>
          </cell>
        </row>
        <row r="257">
          <cell r="A257">
            <v>2024</v>
          </cell>
          <cell r="B257">
            <v>5</v>
          </cell>
          <cell r="D257" t="str">
            <v>Úklid budovy</v>
          </cell>
          <cell r="G257">
            <v>27548</v>
          </cell>
        </row>
        <row r="258">
          <cell r="A258">
            <v>2024</v>
          </cell>
          <cell r="B258">
            <v>5</v>
          </cell>
          <cell r="D258" t="str">
            <v>Veletrhy, výstavy</v>
          </cell>
          <cell r="G258">
            <v>537486</v>
          </cell>
        </row>
        <row r="259">
          <cell r="A259">
            <v>2024</v>
          </cell>
          <cell r="B259">
            <v>5</v>
          </cell>
          <cell r="D259" t="str">
            <v>Vybavení kanceláří</v>
          </cell>
          <cell r="G259">
            <v>19200</v>
          </cell>
        </row>
        <row r="260">
          <cell r="A260">
            <v>2024</v>
          </cell>
          <cell r="B260">
            <v>5</v>
          </cell>
          <cell r="D260" t="str">
            <v>Výdej materiálu + zboží ze skladu</v>
          </cell>
          <cell r="G260">
            <v>40021</v>
          </cell>
        </row>
        <row r="261">
          <cell r="A261">
            <v>2024</v>
          </cell>
          <cell r="B261">
            <v>5</v>
          </cell>
          <cell r="D261" t="str">
            <v>Výdej materiálu + zboží ze skladu</v>
          </cell>
          <cell r="G261">
            <v>-6713769</v>
          </cell>
        </row>
        <row r="262">
          <cell r="A262">
            <v>2024</v>
          </cell>
          <cell r="B262">
            <v>5</v>
          </cell>
          <cell r="D262" t="str">
            <v>Výdej materiálu + zboží ze skladu</v>
          </cell>
          <cell r="G262">
            <v>1305</v>
          </cell>
        </row>
        <row r="263">
          <cell r="A263">
            <v>2024</v>
          </cell>
          <cell r="B263">
            <v>5</v>
          </cell>
          <cell r="D263" t="str">
            <v>Výrobní stroje</v>
          </cell>
          <cell r="G263">
            <v>23686</v>
          </cell>
        </row>
        <row r="264">
          <cell r="A264">
            <v>2024</v>
          </cell>
          <cell r="B264">
            <v>5</v>
          </cell>
          <cell r="D264" t="str">
            <v>ZC HIM daňově</v>
          </cell>
          <cell r="G264">
            <v>6664</v>
          </cell>
        </row>
        <row r="265">
          <cell r="A265">
            <v>2024</v>
          </cell>
          <cell r="B265">
            <v>6</v>
          </cell>
          <cell r="D265" t="str">
            <v>BOZP, PO, revize</v>
          </cell>
          <cell r="G265">
            <v>2550</v>
          </cell>
        </row>
        <row r="266">
          <cell r="A266">
            <v>2024</v>
          </cell>
          <cell r="B266">
            <v>6</v>
          </cell>
          <cell r="D266" t="str">
            <v>Celní služby</v>
          </cell>
          <cell r="G266">
            <v>9155</v>
          </cell>
        </row>
        <row r="267">
          <cell r="A267">
            <v>2024</v>
          </cell>
          <cell r="B267">
            <v>6</v>
          </cell>
          <cell r="D267" t="str">
            <v>Cestovné</v>
          </cell>
          <cell r="G267">
            <v>16243</v>
          </cell>
        </row>
        <row r="268">
          <cell r="A268">
            <v>2024</v>
          </cell>
          <cell r="B268">
            <v>6</v>
          </cell>
          <cell r="D268" t="str">
            <v>Cestovné</v>
          </cell>
          <cell r="G268">
            <v>20754</v>
          </cell>
        </row>
        <row r="269">
          <cell r="A269">
            <v>2024</v>
          </cell>
          <cell r="B269">
            <v>6</v>
          </cell>
          <cell r="D269" t="str">
            <v>Cestovné</v>
          </cell>
          <cell r="G269">
            <v>29461</v>
          </cell>
        </row>
        <row r="270">
          <cell r="A270">
            <v>2024</v>
          </cell>
          <cell r="B270">
            <v>6</v>
          </cell>
          <cell r="D270" t="str">
            <v>Cestovné</v>
          </cell>
          <cell r="G270">
            <v>62068</v>
          </cell>
        </row>
        <row r="271">
          <cell r="A271">
            <v>2024</v>
          </cell>
          <cell r="B271">
            <v>6</v>
          </cell>
          <cell r="D271" t="str">
            <v>Daně a poplatky</v>
          </cell>
          <cell r="G271">
            <v>313</v>
          </cell>
        </row>
        <row r="272">
          <cell r="A272">
            <v>2024</v>
          </cell>
          <cell r="B272">
            <v>6</v>
          </cell>
          <cell r="D272" t="str">
            <v>Dekorační předměty, údržba zeleně</v>
          </cell>
          <cell r="G272">
            <v>159</v>
          </cell>
        </row>
        <row r="273">
          <cell r="A273">
            <v>2024</v>
          </cell>
          <cell r="B273">
            <v>6</v>
          </cell>
          <cell r="D273" t="str">
            <v>Doprava</v>
          </cell>
          <cell r="G273">
            <v>199618</v>
          </cell>
        </row>
        <row r="274">
          <cell r="A274">
            <v>2024</v>
          </cell>
          <cell r="B274">
            <v>6</v>
          </cell>
          <cell r="D274" t="str">
            <v>Drobný HIM - nářadí</v>
          </cell>
          <cell r="G274">
            <v>17190</v>
          </cell>
        </row>
        <row r="275">
          <cell r="A275">
            <v>2024</v>
          </cell>
          <cell r="B275">
            <v>6</v>
          </cell>
          <cell r="D275" t="str">
            <v>Drobný HIM - správní budova</v>
          </cell>
          <cell r="G275">
            <v>95880</v>
          </cell>
        </row>
        <row r="276">
          <cell r="A276">
            <v>2024</v>
          </cell>
          <cell r="B276">
            <v>6</v>
          </cell>
          <cell r="D276" t="str">
            <v>Drobný HIM - vybavení dílny</v>
          </cell>
          <cell r="G276">
            <v>1572</v>
          </cell>
        </row>
        <row r="277">
          <cell r="A277">
            <v>2024</v>
          </cell>
          <cell r="B277">
            <v>6</v>
          </cell>
          <cell r="D277" t="str">
            <v>Finanční náklady</v>
          </cell>
          <cell r="G277">
            <v>1753</v>
          </cell>
        </row>
        <row r="278">
          <cell r="A278">
            <v>2024</v>
          </cell>
          <cell r="B278">
            <v>6</v>
          </cell>
          <cell r="D278" t="str">
            <v>Finanční náklady</v>
          </cell>
          <cell r="G278">
            <v>7415</v>
          </cell>
        </row>
        <row r="279">
          <cell r="A279">
            <v>2024</v>
          </cell>
          <cell r="B279">
            <v>6</v>
          </cell>
          <cell r="D279" t="str">
            <v>Finanční náklady</v>
          </cell>
          <cell r="G279">
            <v>264869</v>
          </cell>
        </row>
        <row r="280">
          <cell r="A280">
            <v>2024</v>
          </cell>
          <cell r="B280">
            <v>6</v>
          </cell>
          <cell r="D280" t="str">
            <v>Finanční náklady</v>
          </cell>
          <cell r="G280">
            <v>22198</v>
          </cell>
        </row>
        <row r="281">
          <cell r="A281">
            <v>2024</v>
          </cell>
          <cell r="B281">
            <v>6</v>
          </cell>
          <cell r="D281" t="str">
            <v>Finanční náklady</v>
          </cell>
          <cell r="G281">
            <v>8325</v>
          </cell>
        </row>
        <row r="282">
          <cell r="A282">
            <v>2024</v>
          </cell>
          <cell r="B282">
            <v>6</v>
          </cell>
          <cell r="D282" t="str">
            <v>Finanční výnosy</v>
          </cell>
          <cell r="G282">
            <v>81361</v>
          </cell>
        </row>
        <row r="283">
          <cell r="A283">
            <v>2024</v>
          </cell>
          <cell r="B283">
            <v>6</v>
          </cell>
          <cell r="D283" t="str">
            <v>Finanční výnosy</v>
          </cell>
          <cell r="G283">
            <v>25005</v>
          </cell>
        </row>
        <row r="284">
          <cell r="A284">
            <v>2024</v>
          </cell>
          <cell r="B284">
            <v>6</v>
          </cell>
          <cell r="D284" t="str">
            <v>Finanční výnosy</v>
          </cell>
          <cell r="G284">
            <v>3000</v>
          </cell>
        </row>
        <row r="285">
          <cell r="A285">
            <v>2024</v>
          </cell>
          <cell r="B285">
            <v>6</v>
          </cell>
          <cell r="D285" t="str">
            <v>FVE</v>
          </cell>
          <cell r="G285">
            <v>-87233</v>
          </cell>
        </row>
        <row r="286">
          <cell r="A286">
            <v>2024</v>
          </cell>
          <cell r="B286">
            <v>6</v>
          </cell>
          <cell r="D286" t="str">
            <v>FVE</v>
          </cell>
          <cell r="G286">
            <v>421515</v>
          </cell>
        </row>
        <row r="287">
          <cell r="A287">
            <v>2024</v>
          </cell>
          <cell r="B287">
            <v>6</v>
          </cell>
          <cell r="D287" t="str">
            <v>Kancelářský materiál</v>
          </cell>
          <cell r="G287">
            <v>7804</v>
          </cell>
        </row>
        <row r="288">
          <cell r="A288">
            <v>2024</v>
          </cell>
          <cell r="B288">
            <v>6</v>
          </cell>
          <cell r="D288" t="str">
            <v>Kooperace I</v>
          </cell>
          <cell r="G288">
            <v>1174197</v>
          </cell>
        </row>
        <row r="289">
          <cell r="A289">
            <v>2024</v>
          </cell>
          <cell r="B289">
            <v>6</v>
          </cell>
          <cell r="D289" t="str">
            <v>Kooperace II</v>
          </cell>
          <cell r="G289">
            <v>262545</v>
          </cell>
        </row>
        <row r="290">
          <cell r="A290">
            <v>2024</v>
          </cell>
          <cell r="B290">
            <v>6</v>
          </cell>
          <cell r="D290" t="str">
            <v>Kurzy AJ, školení</v>
          </cell>
          <cell r="G290">
            <v>19394</v>
          </cell>
        </row>
        <row r="291">
          <cell r="A291">
            <v>2024</v>
          </cell>
          <cell r="B291">
            <v>6</v>
          </cell>
          <cell r="D291" t="str">
            <v>Mycí, čistící, desinfekční prostředky</v>
          </cell>
          <cell r="G291">
            <v>9344</v>
          </cell>
        </row>
        <row r="292">
          <cell r="A292">
            <v>2024</v>
          </cell>
          <cell r="B292">
            <v>6</v>
          </cell>
          <cell r="D292" t="str">
            <v>Nájemné</v>
          </cell>
          <cell r="G292">
            <v>34452</v>
          </cell>
        </row>
        <row r="293">
          <cell r="A293">
            <v>2024</v>
          </cell>
          <cell r="B293">
            <v>6</v>
          </cell>
          <cell r="D293" t="str">
            <v>Nedokončená výroba</v>
          </cell>
          <cell r="G293">
            <v>4490466</v>
          </cell>
        </row>
        <row r="294">
          <cell r="A294">
            <v>2024</v>
          </cell>
          <cell r="B294">
            <v>6</v>
          </cell>
          <cell r="D294" t="str">
            <v>Obalový materiál - krabice, palety</v>
          </cell>
          <cell r="G294">
            <v>11274</v>
          </cell>
        </row>
        <row r="295">
          <cell r="A295">
            <v>2024</v>
          </cell>
          <cell r="B295">
            <v>6</v>
          </cell>
          <cell r="D295" t="str">
            <v>Obalový materiál - krabice, palety</v>
          </cell>
          <cell r="G295">
            <v>9890</v>
          </cell>
        </row>
        <row r="296">
          <cell r="A296">
            <v>2024</v>
          </cell>
          <cell r="B296">
            <v>6</v>
          </cell>
          <cell r="D296" t="str">
            <v>Obalový materiál - zámořské balení</v>
          </cell>
          <cell r="G296">
            <v>57075</v>
          </cell>
        </row>
        <row r="297">
          <cell r="A297">
            <v>2024</v>
          </cell>
          <cell r="B297">
            <v>6</v>
          </cell>
          <cell r="D297" t="str">
            <v>Občerstvení - kuchyňka, kantýna</v>
          </cell>
          <cell r="G297">
            <v>16961</v>
          </cell>
        </row>
        <row r="298">
          <cell r="A298">
            <v>2024</v>
          </cell>
          <cell r="B298">
            <v>6</v>
          </cell>
          <cell r="D298" t="str">
            <v>Občerstvení pro obchodní partnery</v>
          </cell>
          <cell r="G298">
            <v>2222</v>
          </cell>
        </row>
        <row r="299">
          <cell r="A299">
            <v>2024</v>
          </cell>
          <cell r="B299">
            <v>6</v>
          </cell>
          <cell r="D299" t="str">
            <v>Odpisy</v>
          </cell>
          <cell r="G299">
            <v>429546</v>
          </cell>
        </row>
        <row r="300">
          <cell r="A300">
            <v>2024</v>
          </cell>
          <cell r="B300">
            <v>6</v>
          </cell>
          <cell r="D300" t="str">
            <v>Odpisy</v>
          </cell>
          <cell r="G300">
            <v>21915</v>
          </cell>
        </row>
        <row r="301">
          <cell r="A301">
            <v>2024</v>
          </cell>
          <cell r="B301">
            <v>6</v>
          </cell>
          <cell r="D301" t="str">
            <v>Odpisy</v>
          </cell>
          <cell r="G301">
            <v>483</v>
          </cell>
        </row>
        <row r="302">
          <cell r="A302">
            <v>2024</v>
          </cell>
          <cell r="B302">
            <v>6</v>
          </cell>
          <cell r="D302" t="str">
            <v>Odpisy</v>
          </cell>
          <cell r="G302">
            <v>43555</v>
          </cell>
        </row>
        <row r="303">
          <cell r="A303">
            <v>2024</v>
          </cell>
          <cell r="B303">
            <v>6</v>
          </cell>
          <cell r="D303" t="str">
            <v>Odpisy</v>
          </cell>
          <cell r="G303">
            <v>63282</v>
          </cell>
        </row>
        <row r="304">
          <cell r="A304">
            <v>2024</v>
          </cell>
          <cell r="B304">
            <v>6</v>
          </cell>
          <cell r="D304" t="str">
            <v>Odpisy</v>
          </cell>
          <cell r="G304">
            <v>7163</v>
          </cell>
        </row>
        <row r="305">
          <cell r="A305">
            <v>2024</v>
          </cell>
          <cell r="B305">
            <v>6</v>
          </cell>
          <cell r="D305" t="str">
            <v>Opravy a údržba vozidel</v>
          </cell>
          <cell r="G305">
            <v>6812</v>
          </cell>
        </row>
        <row r="306">
          <cell r="A306">
            <v>2024</v>
          </cell>
          <cell r="B306">
            <v>6</v>
          </cell>
          <cell r="D306" t="str">
            <v>Opravy a údržba vozidel</v>
          </cell>
          <cell r="G306">
            <v>4412</v>
          </cell>
        </row>
        <row r="307">
          <cell r="A307">
            <v>2024</v>
          </cell>
          <cell r="B307">
            <v>6</v>
          </cell>
          <cell r="D307" t="str">
            <v>Opravy a údržba vozidel</v>
          </cell>
          <cell r="G307">
            <v>23704</v>
          </cell>
        </row>
        <row r="308">
          <cell r="A308">
            <v>2024</v>
          </cell>
          <cell r="B308">
            <v>6</v>
          </cell>
          <cell r="D308" t="str">
            <v>Opravy a údržba vozidel</v>
          </cell>
          <cell r="G308">
            <v>519</v>
          </cell>
        </row>
        <row r="309">
          <cell r="A309">
            <v>2024</v>
          </cell>
          <cell r="B309">
            <v>6</v>
          </cell>
          <cell r="D309" t="str">
            <v>Opravy, servisy, montáže</v>
          </cell>
          <cell r="G309">
            <v>664393</v>
          </cell>
        </row>
        <row r="310">
          <cell r="A310">
            <v>2024</v>
          </cell>
          <cell r="B310">
            <v>6</v>
          </cell>
          <cell r="D310" t="str">
            <v>Osobní náklady</v>
          </cell>
          <cell r="G310">
            <v>3068622</v>
          </cell>
        </row>
        <row r="311">
          <cell r="A311">
            <v>2024</v>
          </cell>
          <cell r="B311">
            <v>6</v>
          </cell>
          <cell r="D311" t="str">
            <v>Osobní náklady</v>
          </cell>
          <cell r="G311">
            <v>122742</v>
          </cell>
        </row>
        <row r="312">
          <cell r="A312">
            <v>2024</v>
          </cell>
          <cell r="B312">
            <v>6</v>
          </cell>
          <cell r="D312" t="str">
            <v>Osobní náklady</v>
          </cell>
          <cell r="G312">
            <v>751147</v>
          </cell>
        </row>
        <row r="313">
          <cell r="A313">
            <v>2024</v>
          </cell>
          <cell r="B313">
            <v>6</v>
          </cell>
          <cell r="D313" t="str">
            <v>Osobní náklady</v>
          </cell>
          <cell r="G313">
            <v>272589</v>
          </cell>
        </row>
        <row r="314">
          <cell r="A314">
            <v>2024</v>
          </cell>
          <cell r="B314">
            <v>6</v>
          </cell>
          <cell r="D314" t="str">
            <v>Osobní náklady</v>
          </cell>
          <cell r="G314">
            <v>79529</v>
          </cell>
        </row>
        <row r="315">
          <cell r="A315">
            <v>2024</v>
          </cell>
          <cell r="B315">
            <v>6</v>
          </cell>
          <cell r="D315" t="str">
            <v>Osobní náklady</v>
          </cell>
          <cell r="G315">
            <v>28000</v>
          </cell>
        </row>
        <row r="316">
          <cell r="A316">
            <v>2024</v>
          </cell>
          <cell r="B316">
            <v>6</v>
          </cell>
          <cell r="D316" t="str">
            <v>Osobní náklady</v>
          </cell>
          <cell r="G316">
            <v>500</v>
          </cell>
        </row>
        <row r="317">
          <cell r="A317">
            <v>2024</v>
          </cell>
          <cell r="B317">
            <v>6</v>
          </cell>
          <cell r="D317" t="str">
            <v>Osobní náklady</v>
          </cell>
          <cell r="G317">
            <v>116901</v>
          </cell>
        </row>
        <row r="318">
          <cell r="A318">
            <v>2024</v>
          </cell>
          <cell r="B318">
            <v>6</v>
          </cell>
          <cell r="D318" t="str">
            <v>Ostatní - nezařazené</v>
          </cell>
          <cell r="G318">
            <v>6</v>
          </cell>
        </row>
        <row r="319">
          <cell r="A319">
            <v>2024</v>
          </cell>
          <cell r="B319">
            <v>6</v>
          </cell>
          <cell r="D319" t="str">
            <v>Ostatní - nezařazené</v>
          </cell>
          <cell r="G319">
            <v>2951</v>
          </cell>
        </row>
        <row r="320">
          <cell r="A320">
            <v>2024</v>
          </cell>
          <cell r="B320">
            <v>6</v>
          </cell>
          <cell r="D320" t="str">
            <v>Ostatní - nezařazené</v>
          </cell>
          <cell r="G320">
            <v>5031</v>
          </cell>
        </row>
        <row r="321">
          <cell r="A321">
            <v>2024</v>
          </cell>
          <cell r="B321">
            <v>6</v>
          </cell>
          <cell r="D321" t="str">
            <v>Ostatní - nezařazené</v>
          </cell>
          <cell r="G321">
            <v>2600</v>
          </cell>
        </row>
        <row r="322">
          <cell r="A322">
            <v>2024</v>
          </cell>
          <cell r="B322">
            <v>6</v>
          </cell>
          <cell r="D322" t="str">
            <v>Ostatní - nezařazené</v>
          </cell>
          <cell r="G322">
            <v>5592</v>
          </cell>
        </row>
        <row r="323">
          <cell r="A323">
            <v>2024</v>
          </cell>
          <cell r="B323">
            <v>6</v>
          </cell>
          <cell r="D323" t="str">
            <v>Ostatní - nezařazené</v>
          </cell>
          <cell r="G323">
            <v>3</v>
          </cell>
        </row>
        <row r="324">
          <cell r="A324">
            <v>2024</v>
          </cell>
          <cell r="B324">
            <v>6</v>
          </cell>
          <cell r="D324" t="str">
            <v>Ostatní - nezařazené</v>
          </cell>
          <cell r="G324">
            <v>6917</v>
          </cell>
        </row>
        <row r="325">
          <cell r="A325">
            <v>2024</v>
          </cell>
          <cell r="B325">
            <v>6</v>
          </cell>
          <cell r="D325" t="str">
            <v>Ostatní služby k zakázce</v>
          </cell>
          <cell r="G325">
            <v>39213</v>
          </cell>
        </row>
        <row r="326">
          <cell r="A326">
            <v>2024</v>
          </cell>
          <cell r="B326">
            <v>6</v>
          </cell>
          <cell r="D326" t="str">
            <v>Ostatní spotřeba - auta</v>
          </cell>
          <cell r="G326">
            <v>1983</v>
          </cell>
        </row>
        <row r="327">
          <cell r="A327">
            <v>2024</v>
          </cell>
          <cell r="B327">
            <v>6</v>
          </cell>
          <cell r="D327" t="str">
            <v>Ostatní spotřeba - režie</v>
          </cell>
          <cell r="G327">
            <v>17420</v>
          </cell>
        </row>
        <row r="328">
          <cell r="A328">
            <v>2024</v>
          </cell>
          <cell r="B328">
            <v>6</v>
          </cell>
          <cell r="D328" t="str">
            <v>Ostatní spotřeba - výroba</v>
          </cell>
          <cell r="G328">
            <v>182995</v>
          </cell>
        </row>
        <row r="329">
          <cell r="A329">
            <v>2024</v>
          </cell>
          <cell r="B329">
            <v>6</v>
          </cell>
          <cell r="D329" t="str">
            <v>Parkovné</v>
          </cell>
          <cell r="G329">
            <v>104</v>
          </cell>
        </row>
        <row r="330">
          <cell r="A330">
            <v>2024</v>
          </cell>
          <cell r="B330">
            <v>6</v>
          </cell>
          <cell r="D330" t="str">
            <v>Patenty, certifikace zařízení</v>
          </cell>
          <cell r="G330">
            <v>9417</v>
          </cell>
        </row>
        <row r="331">
          <cell r="A331">
            <v>2024</v>
          </cell>
          <cell r="B331">
            <v>6</v>
          </cell>
          <cell r="D331" t="str">
            <v>PHM</v>
          </cell>
          <cell r="G331">
            <v>631</v>
          </cell>
        </row>
        <row r="332">
          <cell r="A332">
            <v>2024</v>
          </cell>
          <cell r="B332">
            <v>6</v>
          </cell>
          <cell r="D332" t="str">
            <v>PHM</v>
          </cell>
          <cell r="G332">
            <v>4234</v>
          </cell>
        </row>
        <row r="333">
          <cell r="A333">
            <v>2024</v>
          </cell>
          <cell r="B333">
            <v>6</v>
          </cell>
          <cell r="D333" t="str">
            <v>PHM</v>
          </cell>
          <cell r="G333">
            <v>1437</v>
          </cell>
        </row>
        <row r="334">
          <cell r="A334">
            <v>2024</v>
          </cell>
          <cell r="B334">
            <v>6</v>
          </cell>
          <cell r="D334" t="str">
            <v>PHM</v>
          </cell>
          <cell r="G334">
            <v>3203</v>
          </cell>
        </row>
        <row r="335">
          <cell r="A335">
            <v>2024</v>
          </cell>
          <cell r="B335">
            <v>6</v>
          </cell>
          <cell r="D335" t="str">
            <v>PHM</v>
          </cell>
          <cell r="G335">
            <v>6536</v>
          </cell>
        </row>
        <row r="336">
          <cell r="A336">
            <v>2024</v>
          </cell>
          <cell r="B336">
            <v>6</v>
          </cell>
          <cell r="D336" t="str">
            <v>Plyn na svařování</v>
          </cell>
          <cell r="G336">
            <v>59528</v>
          </cell>
        </row>
        <row r="337">
          <cell r="A337">
            <v>2024</v>
          </cell>
          <cell r="B337">
            <v>6</v>
          </cell>
          <cell r="D337" t="str">
            <v>Plyn na svařování</v>
          </cell>
          <cell r="G337">
            <v>7487</v>
          </cell>
        </row>
        <row r="338">
          <cell r="A338">
            <v>2024</v>
          </cell>
          <cell r="B338">
            <v>6</v>
          </cell>
          <cell r="D338" t="str">
            <v>Pojištění vozidel</v>
          </cell>
          <cell r="G338">
            <v>7622</v>
          </cell>
        </row>
        <row r="339">
          <cell r="A339">
            <v>2024</v>
          </cell>
          <cell r="B339">
            <v>6</v>
          </cell>
          <cell r="D339" t="str">
            <v>POLOTOVARY VLASTNÍ VÝROBY</v>
          </cell>
          <cell r="G339">
            <v>159880</v>
          </cell>
        </row>
        <row r="340">
          <cell r="A340">
            <v>2024</v>
          </cell>
          <cell r="B340">
            <v>6</v>
          </cell>
          <cell r="D340" t="str">
            <v>Poradenství (právní, dotační)</v>
          </cell>
          <cell r="G340">
            <v>1200</v>
          </cell>
        </row>
        <row r="341">
          <cell r="A341">
            <v>2024</v>
          </cell>
          <cell r="B341">
            <v>6</v>
          </cell>
          <cell r="D341" t="str">
            <v>Poradenství (právní, dotační)</v>
          </cell>
          <cell r="G341">
            <v>182400</v>
          </cell>
        </row>
        <row r="342">
          <cell r="A342">
            <v>2024</v>
          </cell>
          <cell r="B342">
            <v>6</v>
          </cell>
          <cell r="D342" t="str">
            <v>Pořízení materiálu</v>
          </cell>
          <cell r="G342">
            <v>8972391</v>
          </cell>
        </row>
        <row r="343">
          <cell r="A343">
            <v>2024</v>
          </cell>
          <cell r="B343">
            <v>6</v>
          </cell>
          <cell r="D343" t="str">
            <v>Poštovné</v>
          </cell>
          <cell r="G343">
            <v>3967</v>
          </cell>
        </row>
        <row r="344">
          <cell r="A344">
            <v>2024</v>
          </cell>
          <cell r="B344">
            <v>6</v>
          </cell>
          <cell r="D344" t="str">
            <v>Pronájem Bezručova</v>
          </cell>
          <cell r="G344">
            <v>48398</v>
          </cell>
        </row>
        <row r="345">
          <cell r="A345">
            <v>2024</v>
          </cell>
          <cell r="B345">
            <v>6</v>
          </cell>
          <cell r="D345" t="str">
            <v>Pronájem plynových lahví</v>
          </cell>
          <cell r="G345">
            <v>9139</v>
          </cell>
        </row>
        <row r="346">
          <cell r="A346">
            <v>2024</v>
          </cell>
          <cell r="B346">
            <v>6</v>
          </cell>
          <cell r="D346" t="str">
            <v>Propagační předměty (do 500,- Kč/ks)</v>
          </cell>
          <cell r="G346">
            <v>3980</v>
          </cell>
        </row>
        <row r="347">
          <cell r="A347">
            <v>2024</v>
          </cell>
          <cell r="B347">
            <v>6</v>
          </cell>
          <cell r="D347" t="str">
            <v>Provize za zprostředkování obchodu</v>
          </cell>
          <cell r="G347">
            <v>40740</v>
          </cell>
        </row>
        <row r="348">
          <cell r="A348">
            <v>2024</v>
          </cell>
          <cell r="B348">
            <v>6</v>
          </cell>
          <cell r="D348" t="str">
            <v>Rozpracovaná výroba</v>
          </cell>
          <cell r="G348">
            <v>4490466</v>
          </cell>
        </row>
        <row r="349">
          <cell r="A349">
            <v>2024</v>
          </cell>
          <cell r="B349">
            <v>6</v>
          </cell>
          <cell r="D349" t="str">
            <v>Rozpracovaná výroba</v>
          </cell>
          <cell r="G349">
            <v>159880.49</v>
          </cell>
        </row>
        <row r="350">
          <cell r="A350">
            <v>2024</v>
          </cell>
          <cell r="B350">
            <v>6</v>
          </cell>
          <cell r="D350" t="str">
            <v>Rozpracovaná výroba</v>
          </cell>
          <cell r="G350">
            <v>-25800.21</v>
          </cell>
        </row>
        <row r="351">
          <cell r="A351">
            <v>2024</v>
          </cell>
          <cell r="B351">
            <v>6</v>
          </cell>
          <cell r="D351" t="str">
            <v>Rozpracovaná výroba</v>
          </cell>
          <cell r="G351">
            <v>-10614615.050000001</v>
          </cell>
        </row>
        <row r="352">
          <cell r="A352">
            <v>2024</v>
          </cell>
          <cell r="B352">
            <v>6</v>
          </cell>
          <cell r="D352" t="str">
            <v>Řezání vodním paprskem</v>
          </cell>
          <cell r="G352">
            <v>98977</v>
          </cell>
        </row>
        <row r="353">
          <cell r="A353">
            <v>2024</v>
          </cell>
          <cell r="B353">
            <v>6</v>
          </cell>
          <cell r="D353" t="str">
            <v>SERVIS</v>
          </cell>
          <cell r="G353">
            <v>-25800</v>
          </cell>
        </row>
        <row r="354">
          <cell r="A354">
            <v>2024</v>
          </cell>
          <cell r="B354">
            <v>6</v>
          </cell>
          <cell r="D354" t="str">
            <v>SKLAD HOTOVÁ ZAŘÍZENÍ</v>
          </cell>
          <cell r="G354">
            <v>-10614615</v>
          </cell>
        </row>
        <row r="355">
          <cell r="A355">
            <v>2024</v>
          </cell>
          <cell r="B355">
            <v>6</v>
          </cell>
          <cell r="D355" t="str">
            <v>Sklad NAKUPOVANÝCH DÍLU</v>
          </cell>
          <cell r="G355">
            <v>3638</v>
          </cell>
        </row>
        <row r="356">
          <cell r="A356">
            <v>2024</v>
          </cell>
          <cell r="B356">
            <v>6</v>
          </cell>
          <cell r="D356" t="str">
            <v>Software, www stránky</v>
          </cell>
          <cell r="G356">
            <v>174879</v>
          </cell>
        </row>
        <row r="357">
          <cell r="A357">
            <v>2024</v>
          </cell>
          <cell r="B357">
            <v>6</v>
          </cell>
          <cell r="D357" t="str">
            <v>Svařovací materiál</v>
          </cell>
          <cell r="G357">
            <v>10229</v>
          </cell>
        </row>
        <row r="358">
          <cell r="A358">
            <v>2024</v>
          </cell>
          <cell r="B358">
            <v>6</v>
          </cell>
          <cell r="D358" t="str">
            <v>Telefon, internet</v>
          </cell>
          <cell r="G358">
            <v>31462</v>
          </cell>
        </row>
        <row r="359">
          <cell r="A359">
            <v>2024</v>
          </cell>
          <cell r="B359">
            <v>6</v>
          </cell>
          <cell r="D359" t="str">
            <v>Tržby z prodeje materiálu + majetku</v>
          </cell>
          <cell r="G359">
            <v>10000</v>
          </cell>
        </row>
        <row r="360">
          <cell r="A360">
            <v>2024</v>
          </cell>
          <cell r="B360">
            <v>6</v>
          </cell>
          <cell r="D360" t="str">
            <v>Tržby z prodeje materiálu + majetku</v>
          </cell>
          <cell r="G360">
            <v>10898</v>
          </cell>
        </row>
        <row r="361">
          <cell r="A361">
            <v>2024</v>
          </cell>
          <cell r="B361">
            <v>6</v>
          </cell>
          <cell r="D361" t="str">
            <v>Tržby za ND servis</v>
          </cell>
          <cell r="G361">
            <v>3352225</v>
          </cell>
        </row>
        <row r="362">
          <cell r="A362">
            <v>2024</v>
          </cell>
          <cell r="B362">
            <v>6</v>
          </cell>
          <cell r="D362" t="str">
            <v>Tržby za vlastní výrobky + zboží</v>
          </cell>
          <cell r="G362">
            <v>1625095</v>
          </cell>
        </row>
        <row r="363">
          <cell r="A363">
            <v>2024</v>
          </cell>
          <cell r="B363">
            <v>6</v>
          </cell>
          <cell r="D363" t="str">
            <v>Tržby za vlastní výrobky + zboží</v>
          </cell>
          <cell r="G363">
            <v>5611454</v>
          </cell>
        </row>
        <row r="364">
          <cell r="A364">
            <v>2024</v>
          </cell>
          <cell r="B364">
            <v>6</v>
          </cell>
          <cell r="D364" t="str">
            <v>Účetní, dańové poradenství</v>
          </cell>
          <cell r="G364">
            <v>82153</v>
          </cell>
        </row>
        <row r="365">
          <cell r="A365">
            <v>2024</v>
          </cell>
          <cell r="B365">
            <v>6</v>
          </cell>
          <cell r="D365" t="str">
            <v>Úklid budovy</v>
          </cell>
          <cell r="G365">
            <v>27548</v>
          </cell>
        </row>
        <row r="366">
          <cell r="A366">
            <v>2024</v>
          </cell>
          <cell r="B366">
            <v>6</v>
          </cell>
          <cell r="D366" t="str">
            <v>Veletrhy, výstavy</v>
          </cell>
          <cell r="G366">
            <v>126041</v>
          </cell>
        </row>
        <row r="367">
          <cell r="A367">
            <v>2024</v>
          </cell>
          <cell r="B367">
            <v>6</v>
          </cell>
          <cell r="D367" t="str">
            <v>Voda</v>
          </cell>
          <cell r="G367">
            <v>60429</v>
          </cell>
        </row>
        <row r="368">
          <cell r="A368">
            <v>2024</v>
          </cell>
          <cell r="B368">
            <v>6</v>
          </cell>
          <cell r="D368" t="str">
            <v>Výdej materiálu + zboží ze skladu</v>
          </cell>
          <cell r="G368">
            <v>30356</v>
          </cell>
        </row>
        <row r="369">
          <cell r="A369">
            <v>2024</v>
          </cell>
          <cell r="B369">
            <v>6</v>
          </cell>
          <cell r="D369" t="str">
            <v>Výdej materiálu + zboží ze skladu</v>
          </cell>
          <cell r="G369">
            <v>-4181435</v>
          </cell>
        </row>
        <row r="370">
          <cell r="A370">
            <v>2024</v>
          </cell>
          <cell r="B370">
            <v>6</v>
          </cell>
          <cell r="D370" t="str">
            <v>Výdej materiálu + zboží ze skladu</v>
          </cell>
          <cell r="G370">
            <v>124</v>
          </cell>
        </row>
        <row r="371">
          <cell r="A371">
            <v>2024</v>
          </cell>
          <cell r="B371">
            <v>6</v>
          </cell>
          <cell r="D371" t="str">
            <v>Výrobní stroje</v>
          </cell>
          <cell r="G371">
            <v>52160</v>
          </cell>
        </row>
        <row r="372">
          <cell r="A372">
            <v>2024</v>
          </cell>
          <cell r="B372">
            <v>7</v>
          </cell>
          <cell r="D372" t="str">
            <v>BOZP, PO, revize</v>
          </cell>
          <cell r="G372">
            <v>14436</v>
          </cell>
        </row>
        <row r="373">
          <cell r="A373">
            <v>2024</v>
          </cell>
          <cell r="B373">
            <v>7</v>
          </cell>
          <cell r="D373" t="str">
            <v>Budova, venkovní prostory</v>
          </cell>
          <cell r="G373">
            <v>16050</v>
          </cell>
        </row>
        <row r="374">
          <cell r="A374">
            <v>2024</v>
          </cell>
          <cell r="B374">
            <v>7</v>
          </cell>
          <cell r="D374" t="str">
            <v>Celní služby</v>
          </cell>
          <cell r="G374">
            <v>7352</v>
          </cell>
        </row>
        <row r="375">
          <cell r="A375">
            <v>2024</v>
          </cell>
          <cell r="B375">
            <v>7</v>
          </cell>
          <cell r="D375" t="str">
            <v>Cestovné</v>
          </cell>
          <cell r="G375">
            <v>13374</v>
          </cell>
        </row>
        <row r="376">
          <cell r="A376">
            <v>2024</v>
          </cell>
          <cell r="B376">
            <v>7</v>
          </cell>
          <cell r="D376" t="str">
            <v>Cestovné</v>
          </cell>
          <cell r="G376">
            <v>59845</v>
          </cell>
        </row>
        <row r="377">
          <cell r="A377">
            <v>2024</v>
          </cell>
          <cell r="B377">
            <v>7</v>
          </cell>
          <cell r="D377" t="str">
            <v>Cestovné</v>
          </cell>
          <cell r="G377">
            <v>41476</v>
          </cell>
        </row>
        <row r="378">
          <cell r="A378">
            <v>2024</v>
          </cell>
          <cell r="B378">
            <v>7</v>
          </cell>
          <cell r="D378" t="str">
            <v>Cestovné</v>
          </cell>
          <cell r="G378">
            <v>19973</v>
          </cell>
        </row>
        <row r="379">
          <cell r="A379">
            <v>2024</v>
          </cell>
          <cell r="B379">
            <v>7</v>
          </cell>
          <cell r="D379" t="str">
            <v>Daně a poplatky</v>
          </cell>
          <cell r="G379">
            <v>194</v>
          </cell>
        </row>
        <row r="380">
          <cell r="A380">
            <v>2024</v>
          </cell>
          <cell r="B380">
            <v>7</v>
          </cell>
          <cell r="D380" t="str">
            <v>Daně a poplatky</v>
          </cell>
          <cell r="G380">
            <v>294</v>
          </cell>
        </row>
        <row r="381">
          <cell r="A381">
            <v>2024</v>
          </cell>
          <cell r="B381">
            <v>7</v>
          </cell>
          <cell r="D381" t="str">
            <v>Daně a poplatky</v>
          </cell>
          <cell r="G381">
            <v>1565</v>
          </cell>
        </row>
        <row r="382">
          <cell r="A382">
            <v>2024</v>
          </cell>
          <cell r="B382">
            <v>7</v>
          </cell>
          <cell r="D382" t="str">
            <v>Daně a poplatky</v>
          </cell>
          <cell r="G382">
            <v>15200</v>
          </cell>
        </row>
        <row r="383">
          <cell r="A383">
            <v>2024</v>
          </cell>
          <cell r="B383">
            <v>7</v>
          </cell>
          <cell r="D383" t="str">
            <v>Daně a poplatky</v>
          </cell>
          <cell r="G383">
            <v>1970</v>
          </cell>
        </row>
        <row r="384">
          <cell r="A384">
            <v>2024</v>
          </cell>
          <cell r="B384">
            <v>7</v>
          </cell>
          <cell r="D384" t="str">
            <v>Doprava</v>
          </cell>
          <cell r="G384">
            <v>274384</v>
          </cell>
        </row>
        <row r="385">
          <cell r="A385">
            <v>2024</v>
          </cell>
          <cell r="B385">
            <v>7</v>
          </cell>
          <cell r="D385" t="str">
            <v>Elektrická energie</v>
          </cell>
          <cell r="G385">
            <v>67039</v>
          </cell>
        </row>
        <row r="386">
          <cell r="A386">
            <v>2024</v>
          </cell>
          <cell r="B386">
            <v>7</v>
          </cell>
          <cell r="D386" t="str">
            <v>Finanční náklady</v>
          </cell>
          <cell r="G386">
            <v>1677</v>
          </cell>
        </row>
        <row r="387">
          <cell r="A387">
            <v>2024</v>
          </cell>
          <cell r="B387">
            <v>7</v>
          </cell>
          <cell r="D387" t="str">
            <v>Finanční náklady</v>
          </cell>
          <cell r="G387">
            <v>7310</v>
          </cell>
        </row>
        <row r="388">
          <cell r="A388">
            <v>2024</v>
          </cell>
          <cell r="B388">
            <v>7</v>
          </cell>
          <cell r="D388" t="str">
            <v>Finanční náklady</v>
          </cell>
          <cell r="G388">
            <v>47793</v>
          </cell>
        </row>
        <row r="389">
          <cell r="A389">
            <v>2024</v>
          </cell>
          <cell r="B389">
            <v>7</v>
          </cell>
          <cell r="D389" t="str">
            <v>Finanční náklady</v>
          </cell>
          <cell r="G389">
            <v>84818</v>
          </cell>
        </row>
        <row r="390">
          <cell r="A390">
            <v>2024</v>
          </cell>
          <cell r="B390">
            <v>7</v>
          </cell>
          <cell r="D390" t="str">
            <v>Finanční náklady</v>
          </cell>
          <cell r="G390">
            <v>5052</v>
          </cell>
        </row>
        <row r="391">
          <cell r="A391">
            <v>2024</v>
          </cell>
          <cell r="B391">
            <v>7</v>
          </cell>
          <cell r="D391" t="str">
            <v>Finanční výnosy</v>
          </cell>
          <cell r="G391">
            <v>73076</v>
          </cell>
        </row>
        <row r="392">
          <cell r="A392">
            <v>2024</v>
          </cell>
          <cell r="B392">
            <v>7</v>
          </cell>
          <cell r="D392" t="str">
            <v>Finanční výnosy</v>
          </cell>
          <cell r="G392">
            <v>62033</v>
          </cell>
        </row>
        <row r="393">
          <cell r="A393">
            <v>2024</v>
          </cell>
          <cell r="B393">
            <v>7</v>
          </cell>
          <cell r="D393" t="str">
            <v>Finanční výnosy</v>
          </cell>
          <cell r="G393">
            <v>87000</v>
          </cell>
        </row>
        <row r="394">
          <cell r="A394">
            <v>2024</v>
          </cell>
          <cell r="B394">
            <v>7</v>
          </cell>
          <cell r="D394" t="str">
            <v>FVE</v>
          </cell>
          <cell r="G394">
            <v>-92212</v>
          </cell>
        </row>
        <row r="395">
          <cell r="A395">
            <v>2024</v>
          </cell>
          <cell r="B395">
            <v>7</v>
          </cell>
          <cell r="D395" t="str">
            <v>FVE</v>
          </cell>
          <cell r="G395">
            <v>448452</v>
          </cell>
        </row>
        <row r="396">
          <cell r="A396">
            <v>2024</v>
          </cell>
          <cell r="B396">
            <v>7</v>
          </cell>
          <cell r="D396" t="str">
            <v>Inzerce</v>
          </cell>
          <cell r="G396">
            <v>520</v>
          </cell>
        </row>
        <row r="397">
          <cell r="A397">
            <v>2024</v>
          </cell>
          <cell r="B397">
            <v>7</v>
          </cell>
          <cell r="D397" t="str">
            <v>Kancelářský materiál</v>
          </cell>
          <cell r="G397">
            <v>2315</v>
          </cell>
        </row>
        <row r="398">
          <cell r="A398">
            <v>2024</v>
          </cell>
          <cell r="B398">
            <v>7</v>
          </cell>
          <cell r="D398" t="str">
            <v>Kooperace I</v>
          </cell>
          <cell r="G398">
            <v>677480</v>
          </cell>
        </row>
        <row r="399">
          <cell r="A399">
            <v>2024</v>
          </cell>
          <cell r="B399">
            <v>7</v>
          </cell>
          <cell r="D399" t="str">
            <v>Kooperace II</v>
          </cell>
          <cell r="G399">
            <v>188065</v>
          </cell>
        </row>
        <row r="400">
          <cell r="A400">
            <v>2024</v>
          </cell>
          <cell r="B400">
            <v>7</v>
          </cell>
          <cell r="D400" t="str">
            <v>Kurzy AJ, školení</v>
          </cell>
          <cell r="G400">
            <v>152500</v>
          </cell>
        </row>
        <row r="401">
          <cell r="A401">
            <v>2024</v>
          </cell>
          <cell r="B401">
            <v>7</v>
          </cell>
          <cell r="D401" t="str">
            <v>Likvidace odpadu</v>
          </cell>
          <cell r="G401">
            <v>22454</v>
          </cell>
        </row>
        <row r="402">
          <cell r="A402">
            <v>2024</v>
          </cell>
          <cell r="B402">
            <v>7</v>
          </cell>
          <cell r="D402" t="str">
            <v>Mycí, čistící, desinfekční prostředky</v>
          </cell>
          <cell r="G402">
            <v>1733</v>
          </cell>
        </row>
        <row r="403">
          <cell r="A403">
            <v>2024</v>
          </cell>
          <cell r="B403">
            <v>7</v>
          </cell>
          <cell r="D403" t="str">
            <v>Nájemné</v>
          </cell>
          <cell r="G403">
            <v>65154</v>
          </cell>
        </row>
        <row r="404">
          <cell r="A404">
            <v>2024</v>
          </cell>
          <cell r="B404">
            <v>7</v>
          </cell>
          <cell r="D404" t="str">
            <v>Nedokončená výroba</v>
          </cell>
          <cell r="G404">
            <v>4555338</v>
          </cell>
        </row>
        <row r="405">
          <cell r="A405">
            <v>2024</v>
          </cell>
          <cell r="B405">
            <v>7</v>
          </cell>
          <cell r="D405" t="str">
            <v>Obalový materiál - krabice, palety</v>
          </cell>
          <cell r="G405">
            <v>12299</v>
          </cell>
        </row>
        <row r="406">
          <cell r="A406">
            <v>2024</v>
          </cell>
          <cell r="B406">
            <v>7</v>
          </cell>
          <cell r="D406" t="str">
            <v>Obalový materiál - krabice, palety</v>
          </cell>
          <cell r="G406">
            <v>-6147</v>
          </cell>
        </row>
        <row r="407">
          <cell r="A407">
            <v>2024</v>
          </cell>
          <cell r="B407">
            <v>7</v>
          </cell>
          <cell r="D407" t="str">
            <v>Obalový materiál - zámořské balení</v>
          </cell>
          <cell r="G407">
            <v>315551</v>
          </cell>
        </row>
        <row r="408">
          <cell r="A408">
            <v>2024</v>
          </cell>
          <cell r="B408">
            <v>7</v>
          </cell>
          <cell r="D408" t="str">
            <v>Občerstvení - kuchyňka, kantýna</v>
          </cell>
          <cell r="G408">
            <v>17751</v>
          </cell>
        </row>
        <row r="409">
          <cell r="A409">
            <v>2024</v>
          </cell>
          <cell r="B409">
            <v>7</v>
          </cell>
          <cell r="D409" t="str">
            <v>Občerstvení pro obchodní partnery</v>
          </cell>
          <cell r="G409">
            <v>5457</v>
          </cell>
        </row>
        <row r="410">
          <cell r="A410">
            <v>2024</v>
          </cell>
          <cell r="B410">
            <v>7</v>
          </cell>
          <cell r="D410" t="str">
            <v>Odpisy</v>
          </cell>
          <cell r="G410">
            <v>429546</v>
          </cell>
        </row>
        <row r="411">
          <cell r="A411">
            <v>2024</v>
          </cell>
          <cell r="B411">
            <v>7</v>
          </cell>
          <cell r="D411" t="str">
            <v>Odpisy</v>
          </cell>
          <cell r="G411">
            <v>21915</v>
          </cell>
        </row>
        <row r="412">
          <cell r="A412">
            <v>2024</v>
          </cell>
          <cell r="B412">
            <v>7</v>
          </cell>
          <cell r="D412" t="str">
            <v>Odpisy</v>
          </cell>
          <cell r="G412">
            <v>483</v>
          </cell>
        </row>
        <row r="413">
          <cell r="A413">
            <v>2024</v>
          </cell>
          <cell r="B413">
            <v>7</v>
          </cell>
          <cell r="D413" t="str">
            <v>Odpisy</v>
          </cell>
          <cell r="G413">
            <v>43555</v>
          </cell>
        </row>
        <row r="414">
          <cell r="A414">
            <v>2024</v>
          </cell>
          <cell r="B414">
            <v>7</v>
          </cell>
          <cell r="D414" t="str">
            <v>Odpisy</v>
          </cell>
          <cell r="G414">
            <v>63282</v>
          </cell>
        </row>
        <row r="415">
          <cell r="A415">
            <v>2024</v>
          </cell>
          <cell r="B415">
            <v>7</v>
          </cell>
          <cell r="D415" t="str">
            <v>Odpisy</v>
          </cell>
          <cell r="G415">
            <v>7163</v>
          </cell>
        </row>
        <row r="416">
          <cell r="A416">
            <v>2024</v>
          </cell>
          <cell r="B416">
            <v>7</v>
          </cell>
          <cell r="D416" t="str">
            <v>OOPP + BOZP vybavení</v>
          </cell>
          <cell r="G416">
            <v>21995</v>
          </cell>
        </row>
        <row r="417">
          <cell r="A417">
            <v>2024</v>
          </cell>
          <cell r="B417">
            <v>7</v>
          </cell>
          <cell r="D417" t="str">
            <v>Opravy a údržba vozidel</v>
          </cell>
          <cell r="G417">
            <v>1975</v>
          </cell>
        </row>
        <row r="418">
          <cell r="A418">
            <v>2024</v>
          </cell>
          <cell r="B418">
            <v>7</v>
          </cell>
          <cell r="D418" t="str">
            <v>Opravy a údržba vozidel</v>
          </cell>
          <cell r="G418">
            <v>1631</v>
          </cell>
        </row>
        <row r="419">
          <cell r="A419">
            <v>2024</v>
          </cell>
          <cell r="B419">
            <v>7</v>
          </cell>
          <cell r="D419" t="str">
            <v>Opravy a údržba vozidel</v>
          </cell>
          <cell r="G419">
            <v>364</v>
          </cell>
        </row>
        <row r="420">
          <cell r="A420">
            <v>2024</v>
          </cell>
          <cell r="B420">
            <v>7</v>
          </cell>
          <cell r="D420" t="str">
            <v>Opravy, servisy, montáže</v>
          </cell>
          <cell r="G420">
            <v>1022938</v>
          </cell>
        </row>
        <row r="421">
          <cell r="A421">
            <v>2024</v>
          </cell>
          <cell r="B421">
            <v>7</v>
          </cell>
          <cell r="D421" t="str">
            <v>Osobní náklady</v>
          </cell>
          <cell r="G421">
            <v>3360384</v>
          </cell>
        </row>
        <row r="422">
          <cell r="A422">
            <v>2024</v>
          </cell>
          <cell r="B422">
            <v>7</v>
          </cell>
          <cell r="D422" t="str">
            <v>Osobní náklady</v>
          </cell>
          <cell r="G422">
            <v>134219</v>
          </cell>
        </row>
        <row r="423">
          <cell r="A423">
            <v>2024</v>
          </cell>
          <cell r="B423">
            <v>7</v>
          </cell>
          <cell r="D423" t="str">
            <v>Osobní náklady</v>
          </cell>
          <cell r="G423">
            <v>823783</v>
          </cell>
        </row>
        <row r="424">
          <cell r="A424">
            <v>2024</v>
          </cell>
          <cell r="B424">
            <v>7</v>
          </cell>
          <cell r="D424" t="str">
            <v>Osobní náklady</v>
          </cell>
          <cell r="G424">
            <v>298961</v>
          </cell>
        </row>
        <row r="425">
          <cell r="A425">
            <v>2024</v>
          </cell>
          <cell r="B425">
            <v>7</v>
          </cell>
          <cell r="D425" t="str">
            <v>Osobní náklady</v>
          </cell>
          <cell r="G425">
            <v>36798</v>
          </cell>
        </row>
        <row r="426">
          <cell r="A426">
            <v>2024</v>
          </cell>
          <cell r="B426">
            <v>7</v>
          </cell>
          <cell r="D426" t="str">
            <v>Osobní náklady</v>
          </cell>
          <cell r="G426">
            <v>3310</v>
          </cell>
        </row>
        <row r="427">
          <cell r="A427">
            <v>2024</v>
          </cell>
          <cell r="B427">
            <v>7</v>
          </cell>
          <cell r="D427" t="str">
            <v>Osobní náklady</v>
          </cell>
          <cell r="G427">
            <v>103072</v>
          </cell>
        </row>
        <row r="428">
          <cell r="A428">
            <v>2024</v>
          </cell>
          <cell r="B428">
            <v>7</v>
          </cell>
          <cell r="D428" t="str">
            <v>Ostatní - nezařazené</v>
          </cell>
          <cell r="G428">
            <v>3</v>
          </cell>
        </row>
        <row r="429">
          <cell r="A429">
            <v>2024</v>
          </cell>
          <cell r="B429">
            <v>7</v>
          </cell>
          <cell r="D429" t="str">
            <v>Ostatní - nezařazené</v>
          </cell>
          <cell r="G429">
            <v>4103</v>
          </cell>
        </row>
        <row r="430">
          <cell r="A430">
            <v>2024</v>
          </cell>
          <cell r="B430">
            <v>7</v>
          </cell>
          <cell r="D430" t="str">
            <v>Ostatní - nezařazené</v>
          </cell>
          <cell r="G430">
            <v>112</v>
          </cell>
        </row>
        <row r="431">
          <cell r="A431">
            <v>2024</v>
          </cell>
          <cell r="B431">
            <v>7</v>
          </cell>
          <cell r="D431" t="str">
            <v>Ostatní - nezařazené</v>
          </cell>
          <cell r="G431">
            <v>2951</v>
          </cell>
        </row>
        <row r="432">
          <cell r="A432">
            <v>2024</v>
          </cell>
          <cell r="B432">
            <v>7</v>
          </cell>
          <cell r="D432" t="str">
            <v>Ostatní - nezařazené</v>
          </cell>
          <cell r="G432">
            <v>1263</v>
          </cell>
        </row>
        <row r="433">
          <cell r="A433">
            <v>2024</v>
          </cell>
          <cell r="B433">
            <v>7</v>
          </cell>
          <cell r="D433" t="str">
            <v>Ostatní - nezařazené</v>
          </cell>
          <cell r="G433">
            <v>2600</v>
          </cell>
        </row>
        <row r="434">
          <cell r="A434">
            <v>2024</v>
          </cell>
          <cell r="B434">
            <v>7</v>
          </cell>
          <cell r="D434" t="str">
            <v>Ostatní - nezařazené</v>
          </cell>
          <cell r="G434">
            <v>2265</v>
          </cell>
        </row>
        <row r="435">
          <cell r="A435">
            <v>2024</v>
          </cell>
          <cell r="B435">
            <v>7</v>
          </cell>
          <cell r="D435" t="str">
            <v>Ostatní služby k zakázce</v>
          </cell>
          <cell r="G435">
            <v>0</v>
          </cell>
        </row>
        <row r="436">
          <cell r="A436">
            <v>2024</v>
          </cell>
          <cell r="B436">
            <v>7</v>
          </cell>
          <cell r="D436" t="str">
            <v>Ostatní spotřeba - auta</v>
          </cell>
          <cell r="G436">
            <v>6598</v>
          </cell>
        </row>
        <row r="437">
          <cell r="A437">
            <v>2024</v>
          </cell>
          <cell r="B437">
            <v>7</v>
          </cell>
          <cell r="D437" t="str">
            <v>Ostatní spotřeba - režie</v>
          </cell>
          <cell r="G437">
            <v>4827</v>
          </cell>
        </row>
        <row r="438">
          <cell r="A438">
            <v>2024</v>
          </cell>
          <cell r="B438">
            <v>7</v>
          </cell>
          <cell r="D438" t="str">
            <v>Ostatní spotřeba - výroba</v>
          </cell>
          <cell r="G438">
            <v>50299</v>
          </cell>
        </row>
        <row r="439">
          <cell r="A439">
            <v>2024</v>
          </cell>
          <cell r="B439">
            <v>7</v>
          </cell>
          <cell r="D439" t="str">
            <v>Parkovné</v>
          </cell>
          <cell r="G439">
            <v>5</v>
          </cell>
        </row>
        <row r="440">
          <cell r="A440">
            <v>2024</v>
          </cell>
          <cell r="B440">
            <v>7</v>
          </cell>
          <cell r="D440" t="str">
            <v>Patenty, certifikace zařízení</v>
          </cell>
          <cell r="G440">
            <v>2953</v>
          </cell>
        </row>
        <row r="441">
          <cell r="A441">
            <v>2024</v>
          </cell>
          <cell r="B441">
            <v>7</v>
          </cell>
          <cell r="D441" t="str">
            <v>PHM</v>
          </cell>
          <cell r="G441">
            <v>5803</v>
          </cell>
        </row>
        <row r="442">
          <cell r="A442">
            <v>2024</v>
          </cell>
          <cell r="B442">
            <v>7</v>
          </cell>
          <cell r="D442" t="str">
            <v>PHM</v>
          </cell>
          <cell r="G442">
            <v>1341</v>
          </cell>
        </row>
        <row r="443">
          <cell r="A443">
            <v>2024</v>
          </cell>
          <cell r="B443">
            <v>7</v>
          </cell>
          <cell r="D443" t="str">
            <v>PHM</v>
          </cell>
          <cell r="G443">
            <v>2073</v>
          </cell>
        </row>
        <row r="444">
          <cell r="A444">
            <v>2024</v>
          </cell>
          <cell r="B444">
            <v>7</v>
          </cell>
          <cell r="D444" t="str">
            <v>PHM</v>
          </cell>
          <cell r="G444">
            <v>6161</v>
          </cell>
        </row>
        <row r="445">
          <cell r="A445">
            <v>2024</v>
          </cell>
          <cell r="B445">
            <v>7</v>
          </cell>
          <cell r="D445" t="str">
            <v>PHM</v>
          </cell>
          <cell r="G445">
            <v>3591</v>
          </cell>
        </row>
        <row r="446">
          <cell r="A446">
            <v>2024</v>
          </cell>
          <cell r="B446">
            <v>7</v>
          </cell>
          <cell r="D446" t="str">
            <v>PHM</v>
          </cell>
          <cell r="G446">
            <v>11922</v>
          </cell>
        </row>
        <row r="447">
          <cell r="A447">
            <v>2024</v>
          </cell>
          <cell r="B447">
            <v>7</v>
          </cell>
          <cell r="D447" t="str">
            <v>PHM</v>
          </cell>
          <cell r="G447">
            <v>18089</v>
          </cell>
        </row>
        <row r="448">
          <cell r="A448">
            <v>2024</v>
          </cell>
          <cell r="B448">
            <v>7</v>
          </cell>
          <cell r="D448" t="str">
            <v>PHM</v>
          </cell>
          <cell r="G448">
            <v>2470</v>
          </cell>
        </row>
        <row r="449">
          <cell r="A449">
            <v>2024</v>
          </cell>
          <cell r="B449">
            <v>7</v>
          </cell>
          <cell r="D449" t="str">
            <v>PHM</v>
          </cell>
          <cell r="G449">
            <v>3331</v>
          </cell>
        </row>
        <row r="450">
          <cell r="A450">
            <v>2024</v>
          </cell>
          <cell r="B450">
            <v>7</v>
          </cell>
          <cell r="D450" t="str">
            <v>PHM</v>
          </cell>
          <cell r="G450">
            <v>24283</v>
          </cell>
        </row>
        <row r="451">
          <cell r="A451">
            <v>2024</v>
          </cell>
          <cell r="B451">
            <v>7</v>
          </cell>
          <cell r="D451" t="str">
            <v>PHM</v>
          </cell>
          <cell r="G451">
            <v>5356</v>
          </cell>
        </row>
        <row r="452">
          <cell r="A452">
            <v>2024</v>
          </cell>
          <cell r="B452">
            <v>7</v>
          </cell>
          <cell r="D452" t="str">
            <v>PHM</v>
          </cell>
          <cell r="G452">
            <v>13002</v>
          </cell>
        </row>
        <row r="453">
          <cell r="A453">
            <v>2024</v>
          </cell>
          <cell r="B453">
            <v>7</v>
          </cell>
          <cell r="D453" t="str">
            <v>PHM</v>
          </cell>
          <cell r="G453">
            <v>8165</v>
          </cell>
        </row>
        <row r="454">
          <cell r="A454">
            <v>2024</v>
          </cell>
          <cell r="B454">
            <v>7</v>
          </cell>
          <cell r="D454" t="str">
            <v>PHM</v>
          </cell>
          <cell r="G454">
            <v>3410</v>
          </cell>
        </row>
        <row r="455">
          <cell r="A455">
            <v>2024</v>
          </cell>
          <cell r="B455">
            <v>7</v>
          </cell>
          <cell r="D455" t="str">
            <v>PHM</v>
          </cell>
          <cell r="G455">
            <v>6696</v>
          </cell>
        </row>
        <row r="456">
          <cell r="A456">
            <v>2024</v>
          </cell>
          <cell r="B456">
            <v>7</v>
          </cell>
          <cell r="D456" t="str">
            <v>PHM</v>
          </cell>
          <cell r="G456">
            <v>6153</v>
          </cell>
        </row>
        <row r="457">
          <cell r="A457">
            <v>2024</v>
          </cell>
          <cell r="B457">
            <v>7</v>
          </cell>
          <cell r="D457" t="str">
            <v>Plyn na svařování</v>
          </cell>
          <cell r="G457">
            <v>19596</v>
          </cell>
        </row>
        <row r="458">
          <cell r="A458">
            <v>2024</v>
          </cell>
          <cell r="B458">
            <v>7</v>
          </cell>
          <cell r="D458" t="str">
            <v>Plyn na svařování</v>
          </cell>
          <cell r="G458">
            <v>9035</v>
          </cell>
        </row>
        <row r="459">
          <cell r="A459">
            <v>2024</v>
          </cell>
          <cell r="B459">
            <v>7</v>
          </cell>
          <cell r="D459" t="str">
            <v>Pojištění vozidel</v>
          </cell>
          <cell r="G459">
            <v>16168</v>
          </cell>
        </row>
        <row r="460">
          <cell r="A460">
            <v>2024</v>
          </cell>
          <cell r="B460">
            <v>7</v>
          </cell>
          <cell r="D460" t="str">
            <v>Pojištění zaměstnanců</v>
          </cell>
          <cell r="G460">
            <v>904</v>
          </cell>
        </row>
        <row r="461">
          <cell r="A461">
            <v>2024</v>
          </cell>
          <cell r="B461">
            <v>7</v>
          </cell>
          <cell r="D461" t="str">
            <v>POLOTOVARY VLASTNÍ VÝROBY</v>
          </cell>
          <cell r="G461">
            <v>-12109</v>
          </cell>
        </row>
        <row r="462">
          <cell r="A462">
            <v>2024</v>
          </cell>
          <cell r="B462">
            <v>7</v>
          </cell>
          <cell r="D462" t="str">
            <v>Poradenství (právní, dotační)</v>
          </cell>
          <cell r="G462">
            <v>175096</v>
          </cell>
        </row>
        <row r="463">
          <cell r="A463">
            <v>2024</v>
          </cell>
          <cell r="B463">
            <v>7</v>
          </cell>
          <cell r="D463" t="str">
            <v>Pořízení materiálu</v>
          </cell>
          <cell r="G463">
            <v>7764154</v>
          </cell>
        </row>
        <row r="464">
          <cell r="A464">
            <v>2024</v>
          </cell>
          <cell r="B464">
            <v>7</v>
          </cell>
          <cell r="D464" t="str">
            <v>Poštovné</v>
          </cell>
          <cell r="G464">
            <v>228</v>
          </cell>
        </row>
        <row r="465">
          <cell r="A465">
            <v>2024</v>
          </cell>
          <cell r="B465">
            <v>7</v>
          </cell>
          <cell r="D465" t="str">
            <v>Pronájem Bezručova</v>
          </cell>
          <cell r="G465">
            <v>30300</v>
          </cell>
        </row>
        <row r="466">
          <cell r="A466">
            <v>2024</v>
          </cell>
          <cell r="B466">
            <v>7</v>
          </cell>
          <cell r="D466" t="str">
            <v>Pronájem plynových lahví</v>
          </cell>
          <cell r="G466">
            <v>9247</v>
          </cell>
        </row>
        <row r="467">
          <cell r="A467">
            <v>2024</v>
          </cell>
          <cell r="B467">
            <v>7</v>
          </cell>
          <cell r="D467" t="str">
            <v>Propagační předměty (do 500,- Kč/ks)</v>
          </cell>
          <cell r="G467">
            <v>3473</v>
          </cell>
        </row>
        <row r="468">
          <cell r="A468">
            <v>2024</v>
          </cell>
          <cell r="B468">
            <v>7</v>
          </cell>
          <cell r="D468" t="str">
            <v>Provize za zprostředkování obchodu</v>
          </cell>
          <cell r="G468">
            <v>35355</v>
          </cell>
        </row>
        <row r="469">
          <cell r="A469">
            <v>2024</v>
          </cell>
          <cell r="B469">
            <v>7</v>
          </cell>
          <cell r="D469" t="str">
            <v>Rozpracovaná výroba</v>
          </cell>
          <cell r="G469">
            <v>-4555338</v>
          </cell>
        </row>
        <row r="470">
          <cell r="A470">
            <v>2024</v>
          </cell>
          <cell r="B470">
            <v>7</v>
          </cell>
          <cell r="D470" t="str">
            <v>Rozpracovaná výroba</v>
          </cell>
          <cell r="G470">
            <v>-12108.59</v>
          </cell>
        </row>
        <row r="471">
          <cell r="A471">
            <v>2024</v>
          </cell>
          <cell r="B471">
            <v>7</v>
          </cell>
          <cell r="D471" t="str">
            <v>Rozpracovaná výroba</v>
          </cell>
          <cell r="G471">
            <v>-31464.12</v>
          </cell>
        </row>
        <row r="472">
          <cell r="A472">
            <v>2024</v>
          </cell>
          <cell r="B472">
            <v>7</v>
          </cell>
          <cell r="D472" t="str">
            <v>Rozpracovaná výroba</v>
          </cell>
          <cell r="G472">
            <v>6853672.0199999996</v>
          </cell>
        </row>
        <row r="473">
          <cell r="A473">
            <v>2024</v>
          </cell>
          <cell r="B473">
            <v>7</v>
          </cell>
          <cell r="D473" t="str">
            <v>Řezání vodním paprskem</v>
          </cell>
          <cell r="G473">
            <v>69283</v>
          </cell>
        </row>
        <row r="474">
          <cell r="A474">
            <v>2024</v>
          </cell>
          <cell r="B474">
            <v>7</v>
          </cell>
          <cell r="D474" t="str">
            <v>Savý textil</v>
          </cell>
          <cell r="G474">
            <v>744</v>
          </cell>
        </row>
        <row r="475">
          <cell r="A475">
            <v>2024</v>
          </cell>
          <cell r="B475">
            <v>7</v>
          </cell>
          <cell r="D475" t="str">
            <v>SERVIS</v>
          </cell>
          <cell r="G475">
            <v>-31464</v>
          </cell>
        </row>
        <row r="476">
          <cell r="A476">
            <v>2024</v>
          </cell>
          <cell r="B476">
            <v>7</v>
          </cell>
          <cell r="D476" t="str">
            <v>SKLAD HOTOVÁ ZAŘÍZENÍ</v>
          </cell>
          <cell r="G476">
            <v>6853672</v>
          </cell>
        </row>
        <row r="477">
          <cell r="A477">
            <v>2024</v>
          </cell>
          <cell r="B477">
            <v>7</v>
          </cell>
          <cell r="D477" t="str">
            <v>Sklad NAKUPOVANÝCH DÍLU</v>
          </cell>
          <cell r="G477">
            <v>1083012</v>
          </cell>
        </row>
        <row r="478">
          <cell r="A478">
            <v>2024</v>
          </cell>
          <cell r="B478">
            <v>7</v>
          </cell>
          <cell r="D478" t="str">
            <v>SKLAD PAPRSEK</v>
          </cell>
          <cell r="G478">
            <v>-47422</v>
          </cell>
        </row>
        <row r="479">
          <cell r="A479">
            <v>2024</v>
          </cell>
          <cell r="B479">
            <v>7</v>
          </cell>
          <cell r="D479" t="str">
            <v>Software, www stránky</v>
          </cell>
          <cell r="G479">
            <v>105953</v>
          </cell>
        </row>
        <row r="480">
          <cell r="A480">
            <v>2024</v>
          </cell>
          <cell r="B480">
            <v>7</v>
          </cell>
          <cell r="D480" t="str">
            <v>Svařovací materiál</v>
          </cell>
          <cell r="G480">
            <v>15636</v>
          </cell>
        </row>
        <row r="481">
          <cell r="A481">
            <v>2024</v>
          </cell>
          <cell r="B481">
            <v>7</v>
          </cell>
          <cell r="D481" t="str">
            <v>Telefon, internet</v>
          </cell>
          <cell r="G481">
            <v>32886</v>
          </cell>
        </row>
        <row r="482">
          <cell r="A482">
            <v>2024</v>
          </cell>
          <cell r="B482">
            <v>7</v>
          </cell>
          <cell r="D482" t="str">
            <v>Tržby z prodeje materiálu + majetku</v>
          </cell>
          <cell r="G482">
            <v>84132</v>
          </cell>
        </row>
        <row r="483">
          <cell r="A483">
            <v>2024</v>
          </cell>
          <cell r="B483">
            <v>7</v>
          </cell>
          <cell r="D483" t="str">
            <v>Tržby z prodeje materiálu + majetku</v>
          </cell>
          <cell r="G483">
            <v>364791</v>
          </cell>
        </row>
        <row r="484">
          <cell r="A484">
            <v>2024</v>
          </cell>
          <cell r="B484">
            <v>7</v>
          </cell>
          <cell r="D484" t="str">
            <v>Tržby za ND servis</v>
          </cell>
          <cell r="G484">
            <v>2704679</v>
          </cell>
        </row>
        <row r="485">
          <cell r="A485">
            <v>2024</v>
          </cell>
          <cell r="B485">
            <v>7</v>
          </cell>
          <cell r="D485" t="str">
            <v>Tržby za vlastní výrobky + zboží</v>
          </cell>
          <cell r="G485">
            <v>1148808</v>
          </cell>
        </row>
        <row r="486">
          <cell r="A486">
            <v>2024</v>
          </cell>
          <cell r="B486">
            <v>7</v>
          </cell>
          <cell r="D486" t="str">
            <v>Tržby za vlastní výrobky + zboží</v>
          </cell>
          <cell r="G486">
            <v>1640186</v>
          </cell>
        </row>
        <row r="487">
          <cell r="A487">
            <v>2024</v>
          </cell>
          <cell r="B487">
            <v>7</v>
          </cell>
          <cell r="D487" t="str">
            <v>Tržby za vlastní výrobky + zboží</v>
          </cell>
          <cell r="G487">
            <v>856476</v>
          </cell>
        </row>
        <row r="488">
          <cell r="A488">
            <v>2024</v>
          </cell>
          <cell r="B488">
            <v>7</v>
          </cell>
          <cell r="D488" t="str">
            <v>Účetní, dańové poradenství</v>
          </cell>
          <cell r="G488">
            <v>69851</v>
          </cell>
        </row>
        <row r="489">
          <cell r="A489">
            <v>2024</v>
          </cell>
          <cell r="B489">
            <v>7</v>
          </cell>
          <cell r="D489" t="str">
            <v>Úklid budovy</v>
          </cell>
          <cell r="G489">
            <v>25067</v>
          </cell>
        </row>
        <row r="490">
          <cell r="A490">
            <v>2024</v>
          </cell>
          <cell r="B490">
            <v>7</v>
          </cell>
          <cell r="D490" t="str">
            <v>Vybavení kanceláří</v>
          </cell>
          <cell r="G490">
            <v>12764</v>
          </cell>
        </row>
        <row r="491">
          <cell r="A491">
            <v>2024</v>
          </cell>
          <cell r="B491">
            <v>7</v>
          </cell>
          <cell r="D491" t="str">
            <v>Výdej materiálu + zboží ze skladu</v>
          </cell>
          <cell r="G491">
            <v>23472</v>
          </cell>
        </row>
        <row r="492">
          <cell r="A492">
            <v>2024</v>
          </cell>
          <cell r="B492">
            <v>7</v>
          </cell>
          <cell r="D492" t="str">
            <v>Výdej materiálu + zboží ze skladu</v>
          </cell>
          <cell r="G492">
            <v>-3065961</v>
          </cell>
        </row>
        <row r="493">
          <cell r="A493">
            <v>2024</v>
          </cell>
          <cell r="B493">
            <v>7</v>
          </cell>
          <cell r="D493" t="str">
            <v>Výdej materiálu + zboží ze skladu</v>
          </cell>
          <cell r="G493">
            <v>-47422</v>
          </cell>
        </row>
        <row r="494">
          <cell r="A494">
            <v>2024</v>
          </cell>
          <cell r="B494">
            <v>7</v>
          </cell>
          <cell r="D494" t="str">
            <v>Výrobní stroje</v>
          </cell>
          <cell r="G494">
            <v>3090</v>
          </cell>
        </row>
        <row r="495">
          <cell r="A495">
            <v>2024</v>
          </cell>
          <cell r="B495">
            <v>8</v>
          </cell>
          <cell r="G495">
            <v>2352</v>
          </cell>
        </row>
        <row r="496">
          <cell r="A496">
            <v>2024</v>
          </cell>
          <cell r="B496">
            <v>8</v>
          </cell>
          <cell r="D496" t="str">
            <v>BOZP, PO, revize</v>
          </cell>
          <cell r="G496">
            <v>16577</v>
          </cell>
        </row>
        <row r="497">
          <cell r="A497">
            <v>2024</v>
          </cell>
          <cell r="B497">
            <v>8</v>
          </cell>
          <cell r="D497" t="str">
            <v>Budova, venkovní prostory</v>
          </cell>
          <cell r="G497">
            <v>3970</v>
          </cell>
        </row>
        <row r="498">
          <cell r="A498">
            <v>2024</v>
          </cell>
          <cell r="B498">
            <v>8</v>
          </cell>
          <cell r="D498" t="str">
            <v>Celní služby</v>
          </cell>
          <cell r="G498">
            <v>11735</v>
          </cell>
        </row>
        <row r="499">
          <cell r="A499">
            <v>2024</v>
          </cell>
          <cell r="B499">
            <v>8</v>
          </cell>
          <cell r="D499" t="str">
            <v>Cestovné</v>
          </cell>
          <cell r="G499">
            <v>14125</v>
          </cell>
        </row>
        <row r="500">
          <cell r="A500">
            <v>2024</v>
          </cell>
          <cell r="B500">
            <v>8</v>
          </cell>
          <cell r="D500" t="str">
            <v>Cestovné</v>
          </cell>
          <cell r="G500">
            <v>74477</v>
          </cell>
        </row>
        <row r="501">
          <cell r="A501">
            <v>2024</v>
          </cell>
          <cell r="B501">
            <v>8</v>
          </cell>
          <cell r="D501" t="str">
            <v>Cestovné</v>
          </cell>
          <cell r="G501">
            <v>14503</v>
          </cell>
        </row>
        <row r="502">
          <cell r="A502">
            <v>2024</v>
          </cell>
          <cell r="B502">
            <v>8</v>
          </cell>
          <cell r="D502" t="str">
            <v>Daně a poplatky</v>
          </cell>
          <cell r="G502">
            <v>271</v>
          </cell>
        </row>
        <row r="503">
          <cell r="A503">
            <v>2024</v>
          </cell>
          <cell r="B503">
            <v>8</v>
          </cell>
          <cell r="D503" t="str">
            <v>Doprava</v>
          </cell>
          <cell r="G503">
            <v>299652</v>
          </cell>
        </row>
        <row r="504">
          <cell r="A504">
            <v>2024</v>
          </cell>
          <cell r="B504">
            <v>8</v>
          </cell>
          <cell r="D504" t="str">
            <v>Drobný HIM - nářadí</v>
          </cell>
          <cell r="G504">
            <v>740</v>
          </cell>
        </row>
        <row r="505">
          <cell r="A505">
            <v>2024</v>
          </cell>
          <cell r="B505">
            <v>8</v>
          </cell>
          <cell r="D505" t="str">
            <v>Elektrická energie</v>
          </cell>
          <cell r="G505">
            <v>36035</v>
          </cell>
        </row>
        <row r="506">
          <cell r="A506">
            <v>2024</v>
          </cell>
          <cell r="B506">
            <v>8</v>
          </cell>
          <cell r="D506" t="str">
            <v>Finanční náklady</v>
          </cell>
          <cell r="G506">
            <v>1600</v>
          </cell>
        </row>
        <row r="507">
          <cell r="A507">
            <v>2024</v>
          </cell>
          <cell r="B507">
            <v>8</v>
          </cell>
          <cell r="D507" t="str">
            <v>Finanční náklady</v>
          </cell>
          <cell r="G507">
            <v>7072</v>
          </cell>
        </row>
        <row r="508">
          <cell r="A508">
            <v>2024</v>
          </cell>
          <cell r="B508">
            <v>8</v>
          </cell>
          <cell r="D508" t="str">
            <v>Finanční náklady</v>
          </cell>
          <cell r="G508">
            <v>46423</v>
          </cell>
        </row>
        <row r="509">
          <cell r="A509">
            <v>2024</v>
          </cell>
          <cell r="B509">
            <v>8</v>
          </cell>
          <cell r="D509" t="str">
            <v>Finanční náklady</v>
          </cell>
          <cell r="G509">
            <v>2250</v>
          </cell>
        </row>
        <row r="510">
          <cell r="A510">
            <v>2024</v>
          </cell>
          <cell r="B510">
            <v>8</v>
          </cell>
          <cell r="D510" t="str">
            <v>Finanční náklady</v>
          </cell>
          <cell r="G510">
            <v>23874</v>
          </cell>
        </row>
        <row r="511">
          <cell r="A511">
            <v>2024</v>
          </cell>
          <cell r="B511">
            <v>8</v>
          </cell>
          <cell r="D511" t="str">
            <v>Finanční výnosy</v>
          </cell>
          <cell r="G511">
            <v>46207</v>
          </cell>
        </row>
        <row r="512">
          <cell r="A512">
            <v>2024</v>
          </cell>
          <cell r="B512">
            <v>8</v>
          </cell>
          <cell r="D512" t="str">
            <v>Finanční výnosy</v>
          </cell>
          <cell r="G512">
            <v>23004</v>
          </cell>
        </row>
        <row r="513">
          <cell r="A513">
            <v>2024</v>
          </cell>
          <cell r="B513">
            <v>8</v>
          </cell>
          <cell r="D513" t="str">
            <v>Finanční výnosy</v>
          </cell>
          <cell r="G513">
            <v>130</v>
          </cell>
        </row>
        <row r="514">
          <cell r="A514">
            <v>2024</v>
          </cell>
          <cell r="B514">
            <v>8</v>
          </cell>
          <cell r="D514" t="str">
            <v>FVE</v>
          </cell>
          <cell r="G514">
            <v>-90067</v>
          </cell>
        </row>
        <row r="515">
          <cell r="A515">
            <v>2024</v>
          </cell>
          <cell r="B515">
            <v>8</v>
          </cell>
          <cell r="D515" t="str">
            <v>FVE</v>
          </cell>
          <cell r="G515">
            <v>443751</v>
          </cell>
        </row>
        <row r="516">
          <cell r="A516">
            <v>2024</v>
          </cell>
          <cell r="B516">
            <v>8</v>
          </cell>
          <cell r="D516" t="str">
            <v>Kooperace I</v>
          </cell>
          <cell r="G516">
            <v>494494</v>
          </cell>
        </row>
        <row r="517">
          <cell r="A517">
            <v>2024</v>
          </cell>
          <cell r="B517">
            <v>8</v>
          </cell>
          <cell r="D517" t="str">
            <v>Kooperace II</v>
          </cell>
          <cell r="G517">
            <v>158000</v>
          </cell>
        </row>
        <row r="518">
          <cell r="A518">
            <v>2024</v>
          </cell>
          <cell r="B518">
            <v>8</v>
          </cell>
          <cell r="D518" t="str">
            <v>Kurzy AJ, školení</v>
          </cell>
          <cell r="G518">
            <v>158751</v>
          </cell>
        </row>
        <row r="519">
          <cell r="A519">
            <v>2024</v>
          </cell>
          <cell r="B519">
            <v>8</v>
          </cell>
          <cell r="D519" t="str">
            <v>Likvidace odpadu</v>
          </cell>
          <cell r="G519">
            <v>17536</v>
          </cell>
        </row>
        <row r="520">
          <cell r="A520">
            <v>2024</v>
          </cell>
          <cell r="B520">
            <v>8</v>
          </cell>
          <cell r="D520" t="str">
            <v>Nájemné</v>
          </cell>
          <cell r="G520">
            <v>38260</v>
          </cell>
        </row>
        <row r="521">
          <cell r="A521">
            <v>2024</v>
          </cell>
          <cell r="B521">
            <v>8</v>
          </cell>
          <cell r="D521" t="str">
            <v>Nedokončená výroba</v>
          </cell>
          <cell r="G521">
            <v>101174</v>
          </cell>
        </row>
        <row r="522">
          <cell r="A522">
            <v>2024</v>
          </cell>
          <cell r="B522">
            <v>8</v>
          </cell>
          <cell r="D522" t="str">
            <v>Obalový materiál - krabice, palety</v>
          </cell>
          <cell r="G522">
            <v>7720</v>
          </cell>
        </row>
        <row r="523">
          <cell r="A523">
            <v>2024</v>
          </cell>
          <cell r="B523">
            <v>8</v>
          </cell>
          <cell r="D523" t="str">
            <v>Obalový materiál - zámořské balení</v>
          </cell>
          <cell r="G523">
            <v>15130</v>
          </cell>
        </row>
        <row r="524">
          <cell r="A524">
            <v>2024</v>
          </cell>
          <cell r="B524">
            <v>8</v>
          </cell>
          <cell r="D524" t="str">
            <v>Občerstvení - kuchyňka, kantýna</v>
          </cell>
          <cell r="G524">
            <v>85</v>
          </cell>
        </row>
        <row r="525">
          <cell r="A525">
            <v>2024</v>
          </cell>
          <cell r="B525">
            <v>8</v>
          </cell>
          <cell r="D525" t="str">
            <v>Občerstvení pro obchodní partnery</v>
          </cell>
          <cell r="G525">
            <v>6360</v>
          </cell>
        </row>
        <row r="526">
          <cell r="A526">
            <v>2024</v>
          </cell>
          <cell r="B526">
            <v>8</v>
          </cell>
          <cell r="D526" t="str">
            <v>Odpisy</v>
          </cell>
          <cell r="G526">
            <v>429546</v>
          </cell>
        </row>
        <row r="527">
          <cell r="A527">
            <v>2024</v>
          </cell>
          <cell r="B527">
            <v>8</v>
          </cell>
          <cell r="D527" t="str">
            <v>Odpisy</v>
          </cell>
          <cell r="G527">
            <v>21915</v>
          </cell>
        </row>
        <row r="528">
          <cell r="A528">
            <v>2024</v>
          </cell>
          <cell r="B528">
            <v>8</v>
          </cell>
          <cell r="D528" t="str">
            <v>Odpisy</v>
          </cell>
          <cell r="G528">
            <v>483</v>
          </cell>
        </row>
        <row r="529">
          <cell r="A529">
            <v>2024</v>
          </cell>
          <cell r="B529">
            <v>8</v>
          </cell>
          <cell r="D529" t="str">
            <v>Odpisy</v>
          </cell>
          <cell r="G529">
            <v>43555</v>
          </cell>
        </row>
        <row r="530">
          <cell r="A530">
            <v>2024</v>
          </cell>
          <cell r="B530">
            <v>8</v>
          </cell>
          <cell r="D530" t="str">
            <v>Odpisy</v>
          </cell>
          <cell r="G530">
            <v>63282</v>
          </cell>
        </row>
        <row r="531">
          <cell r="A531">
            <v>2024</v>
          </cell>
          <cell r="B531">
            <v>8</v>
          </cell>
          <cell r="D531" t="str">
            <v>Odpisy</v>
          </cell>
          <cell r="G531">
            <v>7163</v>
          </cell>
        </row>
        <row r="532">
          <cell r="A532">
            <v>2024</v>
          </cell>
          <cell r="B532">
            <v>8</v>
          </cell>
          <cell r="D532" t="str">
            <v>OOPP + BOZP vybavení</v>
          </cell>
          <cell r="G532">
            <v>2723</v>
          </cell>
        </row>
        <row r="533">
          <cell r="A533">
            <v>2024</v>
          </cell>
          <cell r="B533">
            <v>8</v>
          </cell>
          <cell r="D533" t="str">
            <v>OOPP + BOZP vybavení</v>
          </cell>
          <cell r="G533">
            <v>2268</v>
          </cell>
        </row>
        <row r="534">
          <cell r="A534">
            <v>2024</v>
          </cell>
          <cell r="B534">
            <v>8</v>
          </cell>
          <cell r="D534" t="str">
            <v>Opravy a údržba vozidel</v>
          </cell>
          <cell r="G534">
            <v>4204</v>
          </cell>
        </row>
        <row r="535">
          <cell r="A535">
            <v>2024</v>
          </cell>
          <cell r="B535">
            <v>8</v>
          </cell>
          <cell r="D535" t="str">
            <v>Opravy a údržba vozidel</v>
          </cell>
          <cell r="G535">
            <v>11148</v>
          </cell>
        </row>
        <row r="536">
          <cell r="A536">
            <v>2024</v>
          </cell>
          <cell r="B536">
            <v>8</v>
          </cell>
          <cell r="D536" t="str">
            <v>Opravy a údržba vozidel</v>
          </cell>
          <cell r="G536">
            <v>7005</v>
          </cell>
        </row>
        <row r="537">
          <cell r="A537">
            <v>2024</v>
          </cell>
          <cell r="B537">
            <v>8</v>
          </cell>
          <cell r="D537" t="str">
            <v>Opravy a údržba vozidel</v>
          </cell>
          <cell r="G537">
            <v>3546</v>
          </cell>
        </row>
        <row r="538">
          <cell r="A538">
            <v>2024</v>
          </cell>
          <cell r="B538">
            <v>8</v>
          </cell>
          <cell r="D538" t="str">
            <v>Opravy a údržba vozidel</v>
          </cell>
          <cell r="G538">
            <v>4200</v>
          </cell>
        </row>
        <row r="539">
          <cell r="A539">
            <v>2024</v>
          </cell>
          <cell r="B539">
            <v>8</v>
          </cell>
          <cell r="D539" t="str">
            <v>Opravy, servisy, montáže</v>
          </cell>
          <cell r="G539">
            <v>1074228</v>
          </cell>
        </row>
        <row r="540">
          <cell r="A540">
            <v>2024</v>
          </cell>
          <cell r="B540">
            <v>8</v>
          </cell>
          <cell r="D540" t="str">
            <v>Osobní náklady</v>
          </cell>
          <cell r="G540">
            <v>3297844</v>
          </cell>
        </row>
        <row r="541">
          <cell r="A541">
            <v>2024</v>
          </cell>
          <cell r="B541">
            <v>8</v>
          </cell>
          <cell r="D541" t="str">
            <v>Osobní náklady</v>
          </cell>
          <cell r="G541">
            <v>139125</v>
          </cell>
        </row>
        <row r="542">
          <cell r="A542">
            <v>2024</v>
          </cell>
          <cell r="B542">
            <v>8</v>
          </cell>
          <cell r="D542" t="str">
            <v>Osobní náklady</v>
          </cell>
          <cell r="G542">
            <v>814768</v>
          </cell>
        </row>
        <row r="543">
          <cell r="A543">
            <v>2024</v>
          </cell>
          <cell r="B543">
            <v>8</v>
          </cell>
          <cell r="D543" t="str">
            <v>Osobní náklady</v>
          </cell>
          <cell r="G543">
            <v>296100</v>
          </cell>
        </row>
        <row r="544">
          <cell r="A544">
            <v>2024</v>
          </cell>
          <cell r="B544">
            <v>8</v>
          </cell>
          <cell r="D544" t="str">
            <v>Osobní náklady</v>
          </cell>
          <cell r="G544">
            <v>28800</v>
          </cell>
        </row>
        <row r="545">
          <cell r="A545">
            <v>2024</v>
          </cell>
          <cell r="B545">
            <v>8</v>
          </cell>
          <cell r="D545" t="str">
            <v>Osobní náklady</v>
          </cell>
          <cell r="G545">
            <v>867</v>
          </cell>
        </row>
        <row r="546">
          <cell r="A546">
            <v>2024</v>
          </cell>
          <cell r="B546">
            <v>8</v>
          </cell>
          <cell r="D546" t="str">
            <v>Osobní náklady</v>
          </cell>
          <cell r="G546">
            <v>95823</v>
          </cell>
        </row>
        <row r="547">
          <cell r="A547">
            <v>2024</v>
          </cell>
          <cell r="B547">
            <v>8</v>
          </cell>
          <cell r="D547" t="str">
            <v>Ostatní - nezařazené</v>
          </cell>
          <cell r="G547">
            <v>5</v>
          </cell>
        </row>
        <row r="548">
          <cell r="A548">
            <v>2024</v>
          </cell>
          <cell r="B548">
            <v>8</v>
          </cell>
          <cell r="D548" t="str">
            <v>Ostatní - nezařazené</v>
          </cell>
          <cell r="G548">
            <v>1638</v>
          </cell>
        </row>
        <row r="549">
          <cell r="A549">
            <v>2024</v>
          </cell>
          <cell r="B549">
            <v>8</v>
          </cell>
          <cell r="D549" t="str">
            <v>Ostatní - nezařazené</v>
          </cell>
          <cell r="G549">
            <v>56</v>
          </cell>
        </row>
        <row r="550">
          <cell r="A550">
            <v>2024</v>
          </cell>
          <cell r="B550">
            <v>8</v>
          </cell>
          <cell r="D550" t="str">
            <v>Ostatní - nezařazené</v>
          </cell>
          <cell r="G550">
            <v>2951</v>
          </cell>
        </row>
        <row r="551">
          <cell r="A551">
            <v>2024</v>
          </cell>
          <cell r="B551">
            <v>8</v>
          </cell>
          <cell r="D551" t="str">
            <v>Ostatní - nezařazené</v>
          </cell>
          <cell r="G551">
            <v>2600</v>
          </cell>
        </row>
        <row r="552">
          <cell r="A552">
            <v>2024</v>
          </cell>
          <cell r="B552">
            <v>8</v>
          </cell>
          <cell r="D552" t="str">
            <v>Ostatní - nezařazené</v>
          </cell>
          <cell r="G552">
            <v>20042</v>
          </cell>
        </row>
        <row r="553">
          <cell r="A553">
            <v>2024</v>
          </cell>
          <cell r="B553">
            <v>8</v>
          </cell>
          <cell r="D553" t="str">
            <v>Ostatní - nezařazené</v>
          </cell>
          <cell r="G553">
            <v>1</v>
          </cell>
        </row>
        <row r="554">
          <cell r="A554">
            <v>2024</v>
          </cell>
          <cell r="B554">
            <v>8</v>
          </cell>
          <cell r="D554" t="str">
            <v>Ostatní služby k zakázce</v>
          </cell>
          <cell r="G554">
            <v>19350</v>
          </cell>
        </row>
        <row r="555">
          <cell r="A555">
            <v>2024</v>
          </cell>
          <cell r="B555">
            <v>8</v>
          </cell>
          <cell r="D555" t="str">
            <v>Ostatní spotřeba - auta</v>
          </cell>
          <cell r="G555">
            <v>1123</v>
          </cell>
        </row>
        <row r="556">
          <cell r="A556">
            <v>2024</v>
          </cell>
          <cell r="B556">
            <v>8</v>
          </cell>
          <cell r="D556" t="str">
            <v>Ostatní spotřeba - režie</v>
          </cell>
          <cell r="G556">
            <v>12724</v>
          </cell>
        </row>
        <row r="557">
          <cell r="A557">
            <v>2024</v>
          </cell>
          <cell r="B557">
            <v>8</v>
          </cell>
          <cell r="D557" t="str">
            <v>Ostatní spotřeba - výroba</v>
          </cell>
          <cell r="G557">
            <v>125313</v>
          </cell>
        </row>
        <row r="558">
          <cell r="A558">
            <v>2024</v>
          </cell>
          <cell r="B558">
            <v>8</v>
          </cell>
          <cell r="D558" t="str">
            <v>Parkovné</v>
          </cell>
          <cell r="G558">
            <v>79</v>
          </cell>
        </row>
        <row r="559">
          <cell r="A559">
            <v>2024</v>
          </cell>
          <cell r="B559">
            <v>8</v>
          </cell>
          <cell r="D559" t="str">
            <v>Patenty, certifikace zařízení</v>
          </cell>
          <cell r="G559">
            <v>39</v>
          </cell>
        </row>
        <row r="560">
          <cell r="A560">
            <v>2024</v>
          </cell>
          <cell r="B560">
            <v>8</v>
          </cell>
          <cell r="D560" t="str">
            <v>PHM</v>
          </cell>
          <cell r="G560">
            <v>2406</v>
          </cell>
        </row>
        <row r="561">
          <cell r="A561">
            <v>2024</v>
          </cell>
          <cell r="B561">
            <v>8</v>
          </cell>
          <cell r="D561" t="str">
            <v>PHM</v>
          </cell>
          <cell r="G561">
            <v>1180</v>
          </cell>
        </row>
        <row r="562">
          <cell r="A562">
            <v>2024</v>
          </cell>
          <cell r="B562">
            <v>8</v>
          </cell>
          <cell r="D562" t="str">
            <v>PHM</v>
          </cell>
          <cell r="G562">
            <v>18383</v>
          </cell>
        </row>
        <row r="563">
          <cell r="A563">
            <v>2024</v>
          </cell>
          <cell r="B563">
            <v>8</v>
          </cell>
          <cell r="D563" t="str">
            <v>PHM</v>
          </cell>
          <cell r="G563">
            <v>5090</v>
          </cell>
        </row>
        <row r="564">
          <cell r="A564">
            <v>2024</v>
          </cell>
          <cell r="B564">
            <v>8</v>
          </cell>
          <cell r="D564" t="str">
            <v>PHM</v>
          </cell>
          <cell r="G564">
            <v>2823</v>
          </cell>
        </row>
        <row r="565">
          <cell r="A565">
            <v>2024</v>
          </cell>
          <cell r="B565">
            <v>8</v>
          </cell>
          <cell r="D565" t="str">
            <v>PHM</v>
          </cell>
          <cell r="G565">
            <v>1353</v>
          </cell>
        </row>
        <row r="566">
          <cell r="A566">
            <v>2024</v>
          </cell>
          <cell r="B566">
            <v>8</v>
          </cell>
          <cell r="D566" t="str">
            <v>PHM</v>
          </cell>
          <cell r="G566">
            <v>8399</v>
          </cell>
        </row>
        <row r="567">
          <cell r="A567">
            <v>2024</v>
          </cell>
          <cell r="B567">
            <v>8</v>
          </cell>
          <cell r="D567" t="str">
            <v>PHM</v>
          </cell>
          <cell r="G567">
            <v>930</v>
          </cell>
        </row>
        <row r="568">
          <cell r="A568">
            <v>2024</v>
          </cell>
          <cell r="B568">
            <v>8</v>
          </cell>
          <cell r="D568" t="str">
            <v>PHM</v>
          </cell>
          <cell r="G568">
            <v>4767</v>
          </cell>
        </row>
        <row r="569">
          <cell r="A569">
            <v>2024</v>
          </cell>
          <cell r="B569">
            <v>8</v>
          </cell>
          <cell r="D569" t="str">
            <v>PHM</v>
          </cell>
          <cell r="G569">
            <v>3172</v>
          </cell>
        </row>
        <row r="570">
          <cell r="A570">
            <v>2024</v>
          </cell>
          <cell r="B570">
            <v>8</v>
          </cell>
          <cell r="D570" t="str">
            <v>PHM</v>
          </cell>
          <cell r="G570">
            <v>4758</v>
          </cell>
        </row>
        <row r="571">
          <cell r="A571">
            <v>2024</v>
          </cell>
          <cell r="B571">
            <v>8</v>
          </cell>
          <cell r="D571" t="str">
            <v>PHM</v>
          </cell>
          <cell r="G571">
            <v>3374</v>
          </cell>
        </row>
        <row r="572">
          <cell r="A572">
            <v>2024</v>
          </cell>
          <cell r="B572">
            <v>8</v>
          </cell>
          <cell r="D572" t="str">
            <v>PHM</v>
          </cell>
          <cell r="G572">
            <v>2968</v>
          </cell>
        </row>
        <row r="573">
          <cell r="A573">
            <v>2024</v>
          </cell>
          <cell r="B573">
            <v>8</v>
          </cell>
          <cell r="D573" t="str">
            <v>Plyn na svařování</v>
          </cell>
          <cell r="G573">
            <v>25103</v>
          </cell>
        </row>
        <row r="574">
          <cell r="A574">
            <v>2024</v>
          </cell>
          <cell r="B574">
            <v>8</v>
          </cell>
          <cell r="D574" t="str">
            <v>Plyn na svařování</v>
          </cell>
          <cell r="G574">
            <v>9833</v>
          </cell>
        </row>
        <row r="575">
          <cell r="A575">
            <v>2024</v>
          </cell>
          <cell r="B575">
            <v>8</v>
          </cell>
          <cell r="D575" t="str">
            <v>Pojištění vozidel</v>
          </cell>
          <cell r="G575">
            <v>18344</v>
          </cell>
        </row>
        <row r="576">
          <cell r="A576">
            <v>2024</v>
          </cell>
          <cell r="B576">
            <v>8</v>
          </cell>
          <cell r="D576" t="str">
            <v>POLOTOVARY VLASTNÍ VÝROBY</v>
          </cell>
          <cell r="G576">
            <v>103680</v>
          </cell>
        </row>
        <row r="577">
          <cell r="A577">
            <v>2024</v>
          </cell>
          <cell r="B577">
            <v>8</v>
          </cell>
          <cell r="D577" t="str">
            <v>Poradenství (právní, dotační)</v>
          </cell>
          <cell r="G577">
            <v>831</v>
          </cell>
        </row>
        <row r="578">
          <cell r="A578">
            <v>2024</v>
          </cell>
          <cell r="B578">
            <v>8</v>
          </cell>
          <cell r="D578" t="str">
            <v>Poradenství (právní, dotační)</v>
          </cell>
          <cell r="G578">
            <v>127703</v>
          </cell>
        </row>
        <row r="579">
          <cell r="A579">
            <v>2024</v>
          </cell>
          <cell r="B579">
            <v>8</v>
          </cell>
          <cell r="D579" t="str">
            <v>Pořízení materiálu</v>
          </cell>
          <cell r="G579">
            <v>5102029</v>
          </cell>
        </row>
        <row r="580">
          <cell r="A580">
            <v>2024</v>
          </cell>
          <cell r="B580">
            <v>8</v>
          </cell>
          <cell r="D580" t="str">
            <v>Poštovné</v>
          </cell>
          <cell r="G580">
            <v>635</v>
          </cell>
        </row>
        <row r="581">
          <cell r="A581">
            <v>2024</v>
          </cell>
          <cell r="B581">
            <v>8</v>
          </cell>
          <cell r="D581" t="str">
            <v>Pronájem Bezručova</v>
          </cell>
          <cell r="G581">
            <v>30300</v>
          </cell>
        </row>
        <row r="582">
          <cell r="A582">
            <v>2024</v>
          </cell>
          <cell r="B582">
            <v>8</v>
          </cell>
          <cell r="D582" t="str">
            <v>Pronájem plynových lahví</v>
          </cell>
          <cell r="G582">
            <v>51384</v>
          </cell>
        </row>
        <row r="583">
          <cell r="A583">
            <v>2024</v>
          </cell>
          <cell r="B583">
            <v>8</v>
          </cell>
          <cell r="D583" t="str">
            <v>Propagační předměty (do 500,- Kč/ks)</v>
          </cell>
          <cell r="G583">
            <v>10545</v>
          </cell>
        </row>
        <row r="584">
          <cell r="A584">
            <v>2024</v>
          </cell>
          <cell r="B584">
            <v>8</v>
          </cell>
          <cell r="D584" t="str">
            <v>Rozpracovaná výroba</v>
          </cell>
          <cell r="G584">
            <v>-101174</v>
          </cell>
        </row>
        <row r="585">
          <cell r="A585">
            <v>2024</v>
          </cell>
          <cell r="B585">
            <v>8</v>
          </cell>
          <cell r="D585" t="str">
            <v>Rozpracovaná výroba</v>
          </cell>
          <cell r="G585">
            <v>103679.53</v>
          </cell>
        </row>
        <row r="586">
          <cell r="A586">
            <v>2024</v>
          </cell>
          <cell r="B586">
            <v>8</v>
          </cell>
          <cell r="D586" t="str">
            <v>Rozpracovaná výroba</v>
          </cell>
          <cell r="G586">
            <v>-70847.02</v>
          </cell>
        </row>
        <row r="587">
          <cell r="A587">
            <v>2024</v>
          </cell>
          <cell r="B587">
            <v>8</v>
          </cell>
          <cell r="D587" t="str">
            <v>Rozpracovaná výroba</v>
          </cell>
          <cell r="G587">
            <v>-2343436.06</v>
          </cell>
        </row>
        <row r="588">
          <cell r="A588">
            <v>2024</v>
          </cell>
          <cell r="B588">
            <v>8</v>
          </cell>
          <cell r="D588" t="str">
            <v>Řezání vodním paprskem</v>
          </cell>
          <cell r="G588">
            <v>52086</v>
          </cell>
        </row>
        <row r="589">
          <cell r="A589">
            <v>2024</v>
          </cell>
          <cell r="B589">
            <v>8</v>
          </cell>
          <cell r="D589" t="str">
            <v>SERVIS</v>
          </cell>
          <cell r="G589">
            <v>-70847</v>
          </cell>
        </row>
        <row r="590">
          <cell r="A590">
            <v>2024</v>
          </cell>
          <cell r="B590">
            <v>8</v>
          </cell>
          <cell r="D590" t="str">
            <v>SKLAD HOTOVÁ ZAŘÍZENÍ</v>
          </cell>
          <cell r="G590">
            <v>-2343436</v>
          </cell>
        </row>
        <row r="591">
          <cell r="A591">
            <v>2024</v>
          </cell>
          <cell r="B591">
            <v>8</v>
          </cell>
          <cell r="D591" t="str">
            <v>Sklad NAKUPOVANÝCH DÍLU</v>
          </cell>
          <cell r="G591">
            <v>149294</v>
          </cell>
        </row>
        <row r="592">
          <cell r="A592">
            <v>2024</v>
          </cell>
          <cell r="B592">
            <v>8</v>
          </cell>
          <cell r="D592" t="str">
            <v>Software, www stránky</v>
          </cell>
          <cell r="G592">
            <v>269403</v>
          </cell>
        </row>
        <row r="593">
          <cell r="A593">
            <v>2024</v>
          </cell>
          <cell r="B593">
            <v>8</v>
          </cell>
          <cell r="D593" t="str">
            <v>Svařovací materiál</v>
          </cell>
          <cell r="G593">
            <v>18093</v>
          </cell>
        </row>
        <row r="594">
          <cell r="A594">
            <v>2024</v>
          </cell>
          <cell r="B594">
            <v>8</v>
          </cell>
          <cell r="D594" t="str">
            <v>Telefon, internet</v>
          </cell>
          <cell r="G594">
            <v>32445</v>
          </cell>
        </row>
        <row r="595">
          <cell r="A595">
            <v>2024</v>
          </cell>
          <cell r="B595">
            <v>8</v>
          </cell>
          <cell r="D595" t="str">
            <v>Tržby z prodeje materiálu + majetku</v>
          </cell>
          <cell r="G595">
            <v>14876</v>
          </cell>
        </row>
        <row r="596">
          <cell r="A596">
            <v>2024</v>
          </cell>
          <cell r="B596">
            <v>8</v>
          </cell>
          <cell r="D596" t="str">
            <v>Tržby z prodeje materiálu + majetku</v>
          </cell>
          <cell r="G596">
            <v>-724089</v>
          </cell>
        </row>
        <row r="597">
          <cell r="A597">
            <v>2024</v>
          </cell>
          <cell r="B597">
            <v>8</v>
          </cell>
          <cell r="D597" t="str">
            <v>Tržby za ND servis</v>
          </cell>
          <cell r="G597">
            <v>1742828</v>
          </cell>
        </row>
        <row r="598">
          <cell r="A598">
            <v>2024</v>
          </cell>
          <cell r="B598">
            <v>8</v>
          </cell>
          <cell r="D598" t="str">
            <v>Tržby za vlastní výrobky + zboží</v>
          </cell>
          <cell r="G598">
            <v>5885136</v>
          </cell>
        </row>
        <row r="599">
          <cell r="A599">
            <v>2024</v>
          </cell>
          <cell r="B599">
            <v>8</v>
          </cell>
          <cell r="D599" t="str">
            <v>Tržby za vlastní výrobky + zboží</v>
          </cell>
          <cell r="G599">
            <v>3750182</v>
          </cell>
        </row>
        <row r="600">
          <cell r="A600">
            <v>2024</v>
          </cell>
          <cell r="B600">
            <v>8</v>
          </cell>
          <cell r="D600" t="str">
            <v>Tržby za vlastní výrobky + zboží</v>
          </cell>
          <cell r="G600">
            <v>1661465</v>
          </cell>
        </row>
        <row r="601">
          <cell r="A601">
            <v>2024</v>
          </cell>
          <cell r="B601">
            <v>8</v>
          </cell>
          <cell r="D601" t="str">
            <v>Účetní, dańové poradenství</v>
          </cell>
          <cell r="G601">
            <v>73534</v>
          </cell>
        </row>
        <row r="602">
          <cell r="A602">
            <v>2024</v>
          </cell>
          <cell r="B602">
            <v>8</v>
          </cell>
          <cell r="D602" t="str">
            <v>Úklid budovy</v>
          </cell>
          <cell r="G602">
            <v>27548</v>
          </cell>
        </row>
        <row r="603">
          <cell r="A603">
            <v>2024</v>
          </cell>
          <cell r="B603">
            <v>8</v>
          </cell>
          <cell r="D603" t="str">
            <v>Vybavení kanceláří</v>
          </cell>
          <cell r="G603">
            <v>17288</v>
          </cell>
        </row>
        <row r="604">
          <cell r="A604">
            <v>2024</v>
          </cell>
          <cell r="B604">
            <v>8</v>
          </cell>
          <cell r="D604" t="str">
            <v>Výdej materiálu + zboží ze skladu</v>
          </cell>
          <cell r="G604">
            <v>16686</v>
          </cell>
        </row>
        <row r="605">
          <cell r="A605">
            <v>2024</v>
          </cell>
          <cell r="B605">
            <v>8</v>
          </cell>
          <cell r="D605" t="str">
            <v>Výdej materiálu + zboží ze skladu</v>
          </cell>
          <cell r="G605">
            <v>-2405512</v>
          </cell>
        </row>
        <row r="606">
          <cell r="A606">
            <v>2024</v>
          </cell>
          <cell r="B606">
            <v>8</v>
          </cell>
          <cell r="D606" t="str">
            <v>Výrobní stroje</v>
          </cell>
          <cell r="G606">
            <v>16394</v>
          </cell>
        </row>
        <row r="607">
          <cell r="A607">
            <v>2024</v>
          </cell>
          <cell r="B607">
            <v>9</v>
          </cell>
          <cell r="G607">
            <v>7097</v>
          </cell>
        </row>
        <row r="608">
          <cell r="A608">
            <v>2024</v>
          </cell>
          <cell r="B608">
            <v>9</v>
          </cell>
          <cell r="D608" t="str">
            <v>Budova, venkovní prostory</v>
          </cell>
          <cell r="G608">
            <v>17283</v>
          </cell>
        </row>
        <row r="609">
          <cell r="A609">
            <v>2024</v>
          </cell>
          <cell r="B609">
            <v>9</v>
          </cell>
          <cell r="D609" t="str">
            <v>Celní služby</v>
          </cell>
          <cell r="G609">
            <v>5000</v>
          </cell>
        </row>
        <row r="610">
          <cell r="A610">
            <v>2024</v>
          </cell>
          <cell r="B610">
            <v>9</v>
          </cell>
          <cell r="D610" t="str">
            <v>Cestovné</v>
          </cell>
          <cell r="G610">
            <v>7556</v>
          </cell>
        </row>
        <row r="611">
          <cell r="A611">
            <v>2024</v>
          </cell>
          <cell r="B611">
            <v>9</v>
          </cell>
          <cell r="D611" t="str">
            <v>Cestovné</v>
          </cell>
          <cell r="G611">
            <v>3465</v>
          </cell>
        </row>
        <row r="612">
          <cell r="A612">
            <v>2024</v>
          </cell>
          <cell r="B612">
            <v>9</v>
          </cell>
          <cell r="D612" t="str">
            <v>Doprava</v>
          </cell>
          <cell r="G612">
            <v>194018</v>
          </cell>
        </row>
        <row r="613">
          <cell r="A613">
            <v>2024</v>
          </cell>
          <cell r="B613">
            <v>9</v>
          </cell>
          <cell r="D613" t="str">
            <v>Drobný HIM - nářadí</v>
          </cell>
          <cell r="G613">
            <v>7435</v>
          </cell>
        </row>
        <row r="614">
          <cell r="A614">
            <v>2024</v>
          </cell>
          <cell r="B614">
            <v>9</v>
          </cell>
          <cell r="D614" t="str">
            <v>Drobný HIM - správní budova</v>
          </cell>
          <cell r="G614">
            <v>13580</v>
          </cell>
        </row>
        <row r="615">
          <cell r="A615">
            <v>2024</v>
          </cell>
          <cell r="B615">
            <v>9</v>
          </cell>
          <cell r="D615" t="str">
            <v>Finanční náklady</v>
          </cell>
          <cell r="G615">
            <v>1716</v>
          </cell>
        </row>
        <row r="616">
          <cell r="A616">
            <v>2024</v>
          </cell>
          <cell r="B616">
            <v>9</v>
          </cell>
          <cell r="D616" t="str">
            <v>Finanční náklady</v>
          </cell>
          <cell r="G616">
            <v>6832</v>
          </cell>
        </row>
        <row r="617">
          <cell r="A617">
            <v>2024</v>
          </cell>
          <cell r="B617">
            <v>9</v>
          </cell>
          <cell r="D617" t="str">
            <v>Finanční náklady</v>
          </cell>
          <cell r="G617">
            <v>56825</v>
          </cell>
        </row>
        <row r="618">
          <cell r="A618">
            <v>2024</v>
          </cell>
          <cell r="B618">
            <v>9</v>
          </cell>
          <cell r="D618" t="str">
            <v>Finanční náklady</v>
          </cell>
          <cell r="G618">
            <v>19136</v>
          </cell>
        </row>
        <row r="619">
          <cell r="A619">
            <v>2024</v>
          </cell>
          <cell r="B619">
            <v>9</v>
          </cell>
          <cell r="D619" t="str">
            <v>Finanční náklady</v>
          </cell>
          <cell r="G619">
            <v>42181</v>
          </cell>
        </row>
        <row r="620">
          <cell r="A620">
            <v>2024</v>
          </cell>
          <cell r="B620">
            <v>9</v>
          </cell>
          <cell r="D620" t="str">
            <v>Finanční výnosy</v>
          </cell>
          <cell r="G620">
            <v>33685</v>
          </cell>
        </row>
        <row r="621">
          <cell r="A621">
            <v>2024</v>
          </cell>
          <cell r="B621">
            <v>9</v>
          </cell>
          <cell r="D621" t="str">
            <v>Finanční výnosy</v>
          </cell>
          <cell r="G621">
            <v>14687</v>
          </cell>
        </row>
        <row r="622">
          <cell r="A622">
            <v>2024</v>
          </cell>
          <cell r="B622">
            <v>9</v>
          </cell>
          <cell r="D622" t="str">
            <v>Inzerce</v>
          </cell>
          <cell r="G622">
            <v>3300</v>
          </cell>
        </row>
        <row r="623">
          <cell r="A623">
            <v>2024</v>
          </cell>
          <cell r="B623">
            <v>9</v>
          </cell>
          <cell r="D623" t="str">
            <v>Kancelářský materiál</v>
          </cell>
          <cell r="G623">
            <v>2800</v>
          </cell>
        </row>
        <row r="624">
          <cell r="A624">
            <v>2024</v>
          </cell>
          <cell r="B624">
            <v>9</v>
          </cell>
          <cell r="D624" t="str">
            <v>Kooperace I</v>
          </cell>
          <cell r="G624">
            <v>530872</v>
          </cell>
        </row>
        <row r="625">
          <cell r="A625">
            <v>2024</v>
          </cell>
          <cell r="B625">
            <v>9</v>
          </cell>
          <cell r="D625" t="str">
            <v>Kooperace II</v>
          </cell>
          <cell r="G625">
            <v>171420</v>
          </cell>
        </row>
        <row r="626">
          <cell r="A626">
            <v>2024</v>
          </cell>
          <cell r="B626">
            <v>9</v>
          </cell>
          <cell r="D626" t="str">
            <v>Kurzy AJ, školení</v>
          </cell>
          <cell r="G626">
            <v>5426</v>
          </cell>
        </row>
        <row r="627">
          <cell r="A627">
            <v>2024</v>
          </cell>
          <cell r="B627">
            <v>9</v>
          </cell>
          <cell r="D627" t="str">
            <v>Mycí, čistící, desinfekční prostředky</v>
          </cell>
          <cell r="G627">
            <v>5567</v>
          </cell>
        </row>
        <row r="628">
          <cell r="A628">
            <v>2024</v>
          </cell>
          <cell r="B628">
            <v>9</v>
          </cell>
          <cell r="D628" t="str">
            <v>Nájemné</v>
          </cell>
          <cell r="G628">
            <v>28000</v>
          </cell>
        </row>
        <row r="629">
          <cell r="A629">
            <v>2024</v>
          </cell>
          <cell r="B629">
            <v>9</v>
          </cell>
          <cell r="D629" t="str">
            <v>Nedokončená výroba</v>
          </cell>
          <cell r="G629">
            <v>1076887</v>
          </cell>
        </row>
        <row r="630">
          <cell r="A630">
            <v>2024</v>
          </cell>
          <cell r="B630">
            <v>9</v>
          </cell>
          <cell r="D630" t="str">
            <v>Obalový materiál - krabice, palety</v>
          </cell>
          <cell r="G630">
            <v>3043</v>
          </cell>
        </row>
        <row r="631">
          <cell r="A631">
            <v>2024</v>
          </cell>
          <cell r="B631">
            <v>9</v>
          </cell>
          <cell r="D631" t="str">
            <v>Obalový materiál - krabice, palety</v>
          </cell>
          <cell r="G631">
            <v>21760</v>
          </cell>
        </row>
        <row r="632">
          <cell r="A632">
            <v>2024</v>
          </cell>
          <cell r="B632">
            <v>9</v>
          </cell>
          <cell r="D632" t="str">
            <v>Obalový materiál - zámořské balení</v>
          </cell>
          <cell r="G632">
            <v>44840</v>
          </cell>
        </row>
        <row r="633">
          <cell r="A633">
            <v>2024</v>
          </cell>
          <cell r="B633">
            <v>9</v>
          </cell>
          <cell r="D633" t="str">
            <v>Občerstvení - kuchyňka, kantýna</v>
          </cell>
          <cell r="G633">
            <v>18262</v>
          </cell>
        </row>
        <row r="634">
          <cell r="A634">
            <v>2024</v>
          </cell>
          <cell r="B634">
            <v>9</v>
          </cell>
          <cell r="D634" t="str">
            <v>Občerstvení pro obchodní partnery</v>
          </cell>
          <cell r="G634">
            <v>3749</v>
          </cell>
        </row>
        <row r="635">
          <cell r="A635">
            <v>2024</v>
          </cell>
          <cell r="B635">
            <v>9</v>
          </cell>
          <cell r="D635" t="str">
            <v>Odpisy</v>
          </cell>
          <cell r="G635">
            <v>6901</v>
          </cell>
        </row>
        <row r="636">
          <cell r="A636">
            <v>2024</v>
          </cell>
          <cell r="B636">
            <v>9</v>
          </cell>
          <cell r="D636" t="str">
            <v>OOPP + BOZP vybavení</v>
          </cell>
          <cell r="G636">
            <v>391</v>
          </cell>
        </row>
        <row r="637">
          <cell r="A637">
            <v>2024</v>
          </cell>
          <cell r="B637">
            <v>9</v>
          </cell>
          <cell r="D637" t="str">
            <v>Opravy a údržba vozidel</v>
          </cell>
          <cell r="G637">
            <v>16329</v>
          </cell>
        </row>
        <row r="638">
          <cell r="A638">
            <v>2024</v>
          </cell>
          <cell r="B638">
            <v>9</v>
          </cell>
          <cell r="D638" t="str">
            <v>Opravy a údržba vozidel</v>
          </cell>
          <cell r="G638">
            <v>6732</v>
          </cell>
        </row>
        <row r="639">
          <cell r="A639">
            <v>2024</v>
          </cell>
          <cell r="B639">
            <v>9</v>
          </cell>
          <cell r="D639" t="str">
            <v>Opravy a údržba vozidel</v>
          </cell>
          <cell r="G639">
            <v>3672</v>
          </cell>
        </row>
        <row r="640">
          <cell r="A640">
            <v>2024</v>
          </cell>
          <cell r="B640">
            <v>9</v>
          </cell>
          <cell r="D640" t="str">
            <v>Opravy a údržba vozidel</v>
          </cell>
          <cell r="G640">
            <v>15705</v>
          </cell>
        </row>
        <row r="641">
          <cell r="A641">
            <v>2024</v>
          </cell>
          <cell r="B641">
            <v>9</v>
          </cell>
          <cell r="D641" t="str">
            <v>Opravy a údržba vozidel</v>
          </cell>
          <cell r="G641">
            <v>1842</v>
          </cell>
        </row>
        <row r="642">
          <cell r="A642">
            <v>2024</v>
          </cell>
          <cell r="B642">
            <v>9</v>
          </cell>
          <cell r="D642" t="str">
            <v>Opravy, servisy, montáže</v>
          </cell>
          <cell r="G642">
            <v>1207944</v>
          </cell>
        </row>
        <row r="643">
          <cell r="A643">
            <v>2024</v>
          </cell>
          <cell r="B643">
            <v>9</v>
          </cell>
          <cell r="D643" t="str">
            <v>Osobní náklady</v>
          </cell>
          <cell r="G643">
            <v>3498</v>
          </cell>
        </row>
        <row r="644">
          <cell r="A644">
            <v>2024</v>
          </cell>
          <cell r="B644">
            <v>9</v>
          </cell>
          <cell r="D644" t="str">
            <v>Osobní náklady</v>
          </cell>
          <cell r="G644">
            <v>2400</v>
          </cell>
        </row>
        <row r="645">
          <cell r="A645">
            <v>2024</v>
          </cell>
          <cell r="B645">
            <v>9</v>
          </cell>
          <cell r="D645" t="str">
            <v>Ostatní - nezařazené</v>
          </cell>
          <cell r="G645">
            <v>4</v>
          </cell>
        </row>
        <row r="646">
          <cell r="A646">
            <v>2024</v>
          </cell>
          <cell r="B646">
            <v>9</v>
          </cell>
          <cell r="D646" t="str">
            <v>Ostatní - nezařazené</v>
          </cell>
          <cell r="G646">
            <v>44685</v>
          </cell>
        </row>
        <row r="647">
          <cell r="A647">
            <v>2024</v>
          </cell>
          <cell r="B647">
            <v>9</v>
          </cell>
          <cell r="D647" t="str">
            <v>Ostatní - nezařazené</v>
          </cell>
          <cell r="G647">
            <v>1905</v>
          </cell>
        </row>
        <row r="648">
          <cell r="A648">
            <v>2024</v>
          </cell>
          <cell r="B648">
            <v>9</v>
          </cell>
          <cell r="D648" t="str">
            <v>Ostatní - nezařazené</v>
          </cell>
          <cell r="G648">
            <v>43</v>
          </cell>
        </row>
        <row r="649">
          <cell r="A649">
            <v>2024</v>
          </cell>
          <cell r="B649">
            <v>9</v>
          </cell>
          <cell r="D649" t="str">
            <v>Ostatní - nezařazené</v>
          </cell>
          <cell r="G649">
            <v>56</v>
          </cell>
        </row>
        <row r="650">
          <cell r="A650">
            <v>2024</v>
          </cell>
          <cell r="B650">
            <v>9</v>
          </cell>
          <cell r="D650" t="str">
            <v>Ostatní - nezařazené</v>
          </cell>
          <cell r="G650">
            <v>2951</v>
          </cell>
        </row>
        <row r="651">
          <cell r="A651">
            <v>2024</v>
          </cell>
          <cell r="B651">
            <v>9</v>
          </cell>
          <cell r="D651" t="str">
            <v>Ostatní - nezařazené</v>
          </cell>
          <cell r="G651">
            <v>5466</v>
          </cell>
        </row>
        <row r="652">
          <cell r="A652">
            <v>2024</v>
          </cell>
          <cell r="B652">
            <v>9</v>
          </cell>
          <cell r="D652" t="str">
            <v>Ostatní - nezařazené</v>
          </cell>
          <cell r="G652">
            <v>2600</v>
          </cell>
        </row>
        <row r="653">
          <cell r="A653">
            <v>2024</v>
          </cell>
          <cell r="B653">
            <v>9</v>
          </cell>
          <cell r="D653" t="str">
            <v>Ostatní - nezařazené</v>
          </cell>
          <cell r="G653">
            <v>12650</v>
          </cell>
        </row>
        <row r="654">
          <cell r="A654">
            <v>2024</v>
          </cell>
          <cell r="B654">
            <v>9</v>
          </cell>
          <cell r="D654" t="str">
            <v>Ostatní - nezařazené</v>
          </cell>
          <cell r="G654">
            <v>14558</v>
          </cell>
        </row>
        <row r="655">
          <cell r="A655">
            <v>2024</v>
          </cell>
          <cell r="B655">
            <v>9</v>
          </cell>
          <cell r="D655" t="str">
            <v>Ostatní - nezařazené</v>
          </cell>
          <cell r="G655">
            <v>5095</v>
          </cell>
        </row>
        <row r="656">
          <cell r="A656">
            <v>2024</v>
          </cell>
          <cell r="B656">
            <v>9</v>
          </cell>
          <cell r="D656" t="str">
            <v>Ostatní služby k zakázce</v>
          </cell>
          <cell r="G656">
            <v>399000</v>
          </cell>
        </row>
        <row r="657">
          <cell r="A657">
            <v>2024</v>
          </cell>
          <cell r="B657">
            <v>9</v>
          </cell>
          <cell r="D657" t="str">
            <v>Ostatní spotřeba - auta</v>
          </cell>
          <cell r="G657">
            <v>907</v>
          </cell>
        </row>
        <row r="658">
          <cell r="A658">
            <v>2024</v>
          </cell>
          <cell r="B658">
            <v>9</v>
          </cell>
          <cell r="D658" t="str">
            <v>Ostatní spotřeba - režie</v>
          </cell>
          <cell r="G658">
            <v>5712</v>
          </cell>
        </row>
        <row r="659">
          <cell r="A659">
            <v>2024</v>
          </cell>
          <cell r="B659">
            <v>9</v>
          </cell>
          <cell r="D659" t="str">
            <v>Ostatní spotřeba - výroba</v>
          </cell>
          <cell r="G659">
            <v>168355</v>
          </cell>
        </row>
        <row r="660">
          <cell r="A660">
            <v>2024</v>
          </cell>
          <cell r="B660">
            <v>9</v>
          </cell>
          <cell r="D660" t="str">
            <v>Ostatní spotřeba - výzkum a vývoj</v>
          </cell>
          <cell r="G660">
            <v>3264</v>
          </cell>
        </row>
        <row r="661">
          <cell r="A661">
            <v>2024</v>
          </cell>
          <cell r="B661">
            <v>9</v>
          </cell>
          <cell r="D661" t="str">
            <v>Parkovné</v>
          </cell>
          <cell r="G661">
            <v>5</v>
          </cell>
        </row>
        <row r="662">
          <cell r="A662">
            <v>2024</v>
          </cell>
          <cell r="B662">
            <v>9</v>
          </cell>
          <cell r="D662" t="str">
            <v>Patenty, certifikace zařízení</v>
          </cell>
          <cell r="G662">
            <v>60383</v>
          </cell>
        </row>
        <row r="663">
          <cell r="A663">
            <v>2024</v>
          </cell>
          <cell r="B663">
            <v>9</v>
          </cell>
          <cell r="D663" t="str">
            <v>PHM</v>
          </cell>
          <cell r="G663">
            <v>2031</v>
          </cell>
        </row>
        <row r="664">
          <cell r="A664">
            <v>2024</v>
          </cell>
          <cell r="B664">
            <v>9</v>
          </cell>
          <cell r="D664" t="str">
            <v>PHM</v>
          </cell>
          <cell r="G664">
            <v>4446</v>
          </cell>
        </row>
        <row r="665">
          <cell r="A665">
            <v>2024</v>
          </cell>
          <cell r="B665">
            <v>9</v>
          </cell>
          <cell r="D665" t="str">
            <v>PHM</v>
          </cell>
          <cell r="G665">
            <v>1294</v>
          </cell>
        </row>
        <row r="666">
          <cell r="A666">
            <v>2024</v>
          </cell>
          <cell r="B666">
            <v>9</v>
          </cell>
          <cell r="D666" t="str">
            <v>PHM</v>
          </cell>
          <cell r="G666">
            <v>6433</v>
          </cell>
        </row>
        <row r="667">
          <cell r="A667">
            <v>2024</v>
          </cell>
          <cell r="B667">
            <v>9</v>
          </cell>
          <cell r="D667" t="str">
            <v>PHM</v>
          </cell>
          <cell r="G667">
            <v>10065</v>
          </cell>
        </row>
        <row r="668">
          <cell r="A668">
            <v>2024</v>
          </cell>
          <cell r="B668">
            <v>9</v>
          </cell>
          <cell r="D668" t="str">
            <v>PHM</v>
          </cell>
          <cell r="G668">
            <v>3176</v>
          </cell>
        </row>
        <row r="669">
          <cell r="A669">
            <v>2024</v>
          </cell>
          <cell r="B669">
            <v>9</v>
          </cell>
          <cell r="D669" t="str">
            <v>PHM</v>
          </cell>
          <cell r="G669">
            <v>2317</v>
          </cell>
        </row>
        <row r="670">
          <cell r="A670">
            <v>2024</v>
          </cell>
          <cell r="B670">
            <v>9</v>
          </cell>
          <cell r="D670" t="str">
            <v>PHM</v>
          </cell>
          <cell r="G670">
            <v>17228</v>
          </cell>
        </row>
        <row r="671">
          <cell r="A671">
            <v>2024</v>
          </cell>
          <cell r="B671">
            <v>9</v>
          </cell>
          <cell r="D671" t="str">
            <v>PHM</v>
          </cell>
          <cell r="G671">
            <v>3511</v>
          </cell>
        </row>
        <row r="672">
          <cell r="A672">
            <v>2024</v>
          </cell>
          <cell r="B672">
            <v>9</v>
          </cell>
          <cell r="D672" t="str">
            <v>PHM</v>
          </cell>
          <cell r="G672">
            <v>5830</v>
          </cell>
        </row>
        <row r="673">
          <cell r="A673">
            <v>2024</v>
          </cell>
          <cell r="B673">
            <v>9</v>
          </cell>
          <cell r="D673" t="str">
            <v>PHM</v>
          </cell>
          <cell r="G673">
            <v>4440</v>
          </cell>
        </row>
        <row r="674">
          <cell r="A674">
            <v>2024</v>
          </cell>
          <cell r="B674">
            <v>9</v>
          </cell>
          <cell r="D674" t="str">
            <v>PHM</v>
          </cell>
          <cell r="G674">
            <v>1305</v>
          </cell>
        </row>
        <row r="675">
          <cell r="A675">
            <v>2024</v>
          </cell>
          <cell r="B675">
            <v>9</v>
          </cell>
          <cell r="D675" t="str">
            <v>PHM</v>
          </cell>
          <cell r="G675">
            <v>886</v>
          </cell>
        </row>
        <row r="676">
          <cell r="A676">
            <v>2024</v>
          </cell>
          <cell r="B676">
            <v>9</v>
          </cell>
          <cell r="D676" t="str">
            <v>Plyn na svařování</v>
          </cell>
          <cell r="G676">
            <v>29532</v>
          </cell>
        </row>
        <row r="677">
          <cell r="A677">
            <v>2024</v>
          </cell>
          <cell r="B677">
            <v>9</v>
          </cell>
          <cell r="D677" t="str">
            <v>Plyn na svařování</v>
          </cell>
          <cell r="G677">
            <v>14937</v>
          </cell>
        </row>
        <row r="678">
          <cell r="A678">
            <v>2024</v>
          </cell>
          <cell r="B678">
            <v>9</v>
          </cell>
          <cell r="D678" t="str">
            <v>Pojištění vozidel</v>
          </cell>
          <cell r="G678">
            <v>1389</v>
          </cell>
        </row>
        <row r="679">
          <cell r="A679">
            <v>2024</v>
          </cell>
          <cell r="B679">
            <v>9</v>
          </cell>
          <cell r="D679" t="str">
            <v>Pojištění zaměstnanců</v>
          </cell>
          <cell r="G679">
            <v>958</v>
          </cell>
        </row>
        <row r="680">
          <cell r="A680">
            <v>2024</v>
          </cell>
          <cell r="B680">
            <v>9</v>
          </cell>
          <cell r="D680" t="str">
            <v>POLOTOVARY VLASTNÍ VÝROBY</v>
          </cell>
          <cell r="G680">
            <v>103101</v>
          </cell>
        </row>
        <row r="681">
          <cell r="A681">
            <v>2024</v>
          </cell>
          <cell r="B681">
            <v>9</v>
          </cell>
          <cell r="D681" t="str">
            <v>Poradenství (právní, dotační)</v>
          </cell>
          <cell r="G681">
            <v>57671</v>
          </cell>
        </row>
        <row r="682">
          <cell r="A682">
            <v>2024</v>
          </cell>
          <cell r="B682">
            <v>9</v>
          </cell>
          <cell r="D682" t="str">
            <v>Pořízení materiálu</v>
          </cell>
          <cell r="G682">
            <v>7095272</v>
          </cell>
        </row>
        <row r="683">
          <cell r="A683">
            <v>2024</v>
          </cell>
          <cell r="B683">
            <v>9</v>
          </cell>
          <cell r="D683" t="str">
            <v>Poštovné</v>
          </cell>
          <cell r="G683">
            <v>80</v>
          </cell>
        </row>
        <row r="684">
          <cell r="A684">
            <v>2024</v>
          </cell>
          <cell r="B684">
            <v>9</v>
          </cell>
          <cell r="D684" t="str">
            <v>Pronájem Bezručova</v>
          </cell>
          <cell r="G684">
            <v>48397</v>
          </cell>
        </row>
        <row r="685">
          <cell r="A685">
            <v>2024</v>
          </cell>
          <cell r="B685">
            <v>9</v>
          </cell>
          <cell r="D685" t="str">
            <v>Pronájem plynových lahví</v>
          </cell>
          <cell r="G685">
            <v>9073</v>
          </cell>
        </row>
        <row r="686">
          <cell r="A686">
            <v>2024</v>
          </cell>
          <cell r="B686">
            <v>9</v>
          </cell>
          <cell r="D686" t="str">
            <v>Propagační předměty (do 500,- Kč/ks)</v>
          </cell>
          <cell r="G686">
            <v>17453</v>
          </cell>
        </row>
        <row r="687">
          <cell r="A687">
            <v>2024</v>
          </cell>
          <cell r="B687">
            <v>9</v>
          </cell>
          <cell r="D687" t="str">
            <v>Rozpracovaná výroba</v>
          </cell>
          <cell r="G687">
            <v>1076887</v>
          </cell>
        </row>
        <row r="688">
          <cell r="A688">
            <v>2024</v>
          </cell>
          <cell r="B688">
            <v>9</v>
          </cell>
          <cell r="D688" t="str">
            <v>Rozpracovaná výroba</v>
          </cell>
          <cell r="G688">
            <v>103100.65</v>
          </cell>
        </row>
        <row r="689">
          <cell r="A689">
            <v>2024</v>
          </cell>
          <cell r="B689">
            <v>9</v>
          </cell>
          <cell r="D689" t="str">
            <v>Rozpracovaná výroba</v>
          </cell>
          <cell r="G689">
            <v>466059.75</v>
          </cell>
        </row>
        <row r="690">
          <cell r="A690">
            <v>2024</v>
          </cell>
          <cell r="B690">
            <v>9</v>
          </cell>
          <cell r="D690" t="str">
            <v>Rozpracovaná výroba</v>
          </cell>
          <cell r="G690">
            <v>-3106453.51</v>
          </cell>
        </row>
        <row r="691">
          <cell r="A691">
            <v>2024</v>
          </cell>
          <cell r="B691">
            <v>9</v>
          </cell>
          <cell r="D691" t="str">
            <v>Řezání vodním paprskem</v>
          </cell>
          <cell r="G691">
            <v>94518</v>
          </cell>
        </row>
        <row r="692">
          <cell r="A692">
            <v>2024</v>
          </cell>
          <cell r="B692">
            <v>9</v>
          </cell>
          <cell r="D692" t="str">
            <v>SERVIS</v>
          </cell>
          <cell r="G692">
            <v>466060</v>
          </cell>
        </row>
        <row r="693">
          <cell r="A693">
            <v>2024</v>
          </cell>
          <cell r="B693">
            <v>9</v>
          </cell>
          <cell r="D693" t="str">
            <v>SKLAD HOTOVÁ ZAŘÍZENÍ</v>
          </cell>
          <cell r="G693">
            <v>-3106454</v>
          </cell>
        </row>
        <row r="694">
          <cell r="A694">
            <v>2024</v>
          </cell>
          <cell r="B694">
            <v>9</v>
          </cell>
          <cell r="D694" t="str">
            <v>Sklad NAKUPOVANÝCH DÍLU</v>
          </cell>
          <cell r="G694">
            <v>-767419</v>
          </cell>
        </row>
        <row r="695">
          <cell r="A695">
            <v>2024</v>
          </cell>
          <cell r="B695">
            <v>9</v>
          </cell>
          <cell r="D695" t="str">
            <v>Software, www stránky</v>
          </cell>
          <cell r="G695">
            <v>146399</v>
          </cell>
        </row>
        <row r="696">
          <cell r="A696">
            <v>2024</v>
          </cell>
          <cell r="B696">
            <v>9</v>
          </cell>
          <cell r="D696" t="str">
            <v>Svařovací materiál</v>
          </cell>
          <cell r="G696">
            <v>19137</v>
          </cell>
        </row>
        <row r="697">
          <cell r="A697">
            <v>2024</v>
          </cell>
          <cell r="B697">
            <v>9</v>
          </cell>
          <cell r="D697" t="str">
            <v>Telefon, internet</v>
          </cell>
          <cell r="G697">
            <v>32406</v>
          </cell>
        </row>
        <row r="698">
          <cell r="A698">
            <v>2024</v>
          </cell>
          <cell r="B698">
            <v>9</v>
          </cell>
          <cell r="D698" t="str">
            <v>Tržby z prodeje materiálu + majetku</v>
          </cell>
          <cell r="G698">
            <v>120909</v>
          </cell>
        </row>
        <row r="699">
          <cell r="A699">
            <v>2024</v>
          </cell>
          <cell r="B699">
            <v>9</v>
          </cell>
          <cell r="D699" t="str">
            <v>Tržby za ND servis</v>
          </cell>
          <cell r="G699">
            <v>1028032</v>
          </cell>
        </row>
        <row r="700">
          <cell r="A700">
            <v>2024</v>
          </cell>
          <cell r="B700">
            <v>9</v>
          </cell>
          <cell r="D700" t="str">
            <v>Tržby za vlastní výrobky + zboží</v>
          </cell>
          <cell r="G700">
            <v>4595985</v>
          </cell>
        </row>
        <row r="701">
          <cell r="A701">
            <v>2024</v>
          </cell>
          <cell r="B701">
            <v>9</v>
          </cell>
          <cell r="D701" t="str">
            <v>Tržby za vlastní výrobky + zboží</v>
          </cell>
          <cell r="G701">
            <v>5133488</v>
          </cell>
        </row>
        <row r="702">
          <cell r="A702">
            <v>2024</v>
          </cell>
          <cell r="B702">
            <v>9</v>
          </cell>
          <cell r="D702" t="str">
            <v>Tržby za vlastní výrobky + zboží</v>
          </cell>
          <cell r="G702">
            <v>179000</v>
          </cell>
        </row>
        <row r="703">
          <cell r="A703">
            <v>2024</v>
          </cell>
          <cell r="B703">
            <v>9</v>
          </cell>
          <cell r="D703" t="str">
            <v>Úklid budovy</v>
          </cell>
          <cell r="G703">
            <v>13648</v>
          </cell>
        </row>
        <row r="704">
          <cell r="A704">
            <v>2024</v>
          </cell>
          <cell r="B704">
            <v>9</v>
          </cell>
          <cell r="D704" t="str">
            <v>Veletrhy, výstavy</v>
          </cell>
          <cell r="G704">
            <v>135753</v>
          </cell>
        </row>
        <row r="705">
          <cell r="A705">
            <v>2024</v>
          </cell>
          <cell r="B705">
            <v>9</v>
          </cell>
          <cell r="D705" t="str">
            <v>Voda</v>
          </cell>
          <cell r="G705">
            <v>14297</v>
          </cell>
        </row>
        <row r="706">
          <cell r="A706">
            <v>2024</v>
          </cell>
          <cell r="B706">
            <v>9</v>
          </cell>
          <cell r="D706" t="str">
            <v>Vybavení kanceláří</v>
          </cell>
          <cell r="G706">
            <v>14928</v>
          </cell>
        </row>
        <row r="707">
          <cell r="A707">
            <v>2024</v>
          </cell>
          <cell r="B707">
            <v>9</v>
          </cell>
          <cell r="D707" t="str">
            <v>Výdej materiálu + zboží ze skladu</v>
          </cell>
          <cell r="G707">
            <v>3732</v>
          </cell>
        </row>
        <row r="708">
          <cell r="A708">
            <v>2024</v>
          </cell>
          <cell r="B708">
            <v>9</v>
          </cell>
          <cell r="D708" t="str">
            <v>Výdej materiálu + zboží ze skladu</v>
          </cell>
          <cell r="G708">
            <v>-4439423</v>
          </cell>
        </row>
        <row r="709">
          <cell r="A709">
            <v>2024</v>
          </cell>
          <cell r="B709">
            <v>9</v>
          </cell>
          <cell r="D709" t="str">
            <v>Výrobní stroje</v>
          </cell>
          <cell r="G709">
            <v>1814</v>
          </cell>
        </row>
        <row r="710">
          <cell r="A710">
            <v>2024</v>
          </cell>
          <cell r="B710">
            <v>10</v>
          </cell>
          <cell r="D710" t="str">
            <v>Cestovné</v>
          </cell>
          <cell r="G710">
            <v>4256</v>
          </cell>
        </row>
        <row r="711">
          <cell r="A711">
            <v>2024</v>
          </cell>
          <cell r="B711">
            <v>10</v>
          </cell>
          <cell r="D711" t="str">
            <v>Doprava</v>
          </cell>
          <cell r="G711">
            <v>19000</v>
          </cell>
        </row>
        <row r="712">
          <cell r="A712">
            <v>2024</v>
          </cell>
          <cell r="B712">
            <v>10</v>
          </cell>
          <cell r="D712" t="str">
            <v>Drobný HIM - správní budova</v>
          </cell>
          <cell r="G712">
            <v>5800</v>
          </cell>
        </row>
        <row r="713">
          <cell r="A713">
            <v>2024</v>
          </cell>
          <cell r="B713">
            <v>10</v>
          </cell>
          <cell r="D713" t="str">
            <v>Finanční náklady</v>
          </cell>
          <cell r="G713">
            <v>12305</v>
          </cell>
        </row>
        <row r="714">
          <cell r="A714">
            <v>2024</v>
          </cell>
          <cell r="B714">
            <v>10</v>
          </cell>
          <cell r="D714" t="str">
            <v>Finanční náklady</v>
          </cell>
          <cell r="G714">
            <v>316</v>
          </cell>
        </row>
        <row r="715">
          <cell r="A715">
            <v>2024</v>
          </cell>
          <cell r="B715">
            <v>10</v>
          </cell>
          <cell r="D715" t="str">
            <v>Finanční výnosy</v>
          </cell>
          <cell r="G715">
            <v>32615</v>
          </cell>
        </row>
        <row r="716">
          <cell r="A716">
            <v>2024</v>
          </cell>
          <cell r="B716">
            <v>10</v>
          </cell>
          <cell r="D716" t="str">
            <v>Kooperace I</v>
          </cell>
          <cell r="G716">
            <v>24742</v>
          </cell>
        </row>
        <row r="717">
          <cell r="A717">
            <v>2024</v>
          </cell>
          <cell r="B717">
            <v>10</v>
          </cell>
          <cell r="D717" t="str">
            <v>Likvidace odpadu</v>
          </cell>
          <cell r="G717">
            <v>1710</v>
          </cell>
        </row>
        <row r="718">
          <cell r="A718">
            <v>2024</v>
          </cell>
          <cell r="B718">
            <v>10</v>
          </cell>
          <cell r="D718" t="str">
            <v>Nájemné</v>
          </cell>
          <cell r="G718">
            <v>43390</v>
          </cell>
        </row>
        <row r="719">
          <cell r="A719">
            <v>2024</v>
          </cell>
          <cell r="B719">
            <v>10</v>
          </cell>
          <cell r="D719" t="str">
            <v>Obalový materiál - krabice, palety</v>
          </cell>
          <cell r="G719">
            <v>240</v>
          </cell>
        </row>
        <row r="720">
          <cell r="A720">
            <v>2024</v>
          </cell>
          <cell r="B720">
            <v>10</v>
          </cell>
          <cell r="D720" t="str">
            <v>Obalový materiál - krabice, palety</v>
          </cell>
          <cell r="G720">
            <v>500</v>
          </cell>
        </row>
        <row r="721">
          <cell r="A721">
            <v>2024</v>
          </cell>
          <cell r="B721">
            <v>10</v>
          </cell>
          <cell r="D721" t="str">
            <v>Obalový materiál - zámořské balení</v>
          </cell>
          <cell r="G721">
            <v>485</v>
          </cell>
        </row>
        <row r="722">
          <cell r="A722">
            <v>2024</v>
          </cell>
          <cell r="B722">
            <v>10</v>
          </cell>
          <cell r="D722" t="str">
            <v>Opravy a údržba vozidel</v>
          </cell>
          <cell r="G722">
            <v>52042</v>
          </cell>
        </row>
        <row r="723">
          <cell r="A723">
            <v>2024</v>
          </cell>
          <cell r="B723">
            <v>10</v>
          </cell>
          <cell r="D723" t="str">
            <v>Opravy, servisy, montáže</v>
          </cell>
          <cell r="G723">
            <v>10926</v>
          </cell>
        </row>
        <row r="724">
          <cell r="A724">
            <v>2024</v>
          </cell>
          <cell r="B724">
            <v>10</v>
          </cell>
          <cell r="D724" t="str">
            <v>Osobní náklady</v>
          </cell>
          <cell r="G724">
            <v>3066</v>
          </cell>
        </row>
        <row r="725">
          <cell r="A725">
            <v>2024</v>
          </cell>
          <cell r="B725">
            <v>10</v>
          </cell>
          <cell r="D725" t="str">
            <v>Ostatní - nezařazené</v>
          </cell>
          <cell r="G725">
            <v>1</v>
          </cell>
        </row>
        <row r="726">
          <cell r="A726">
            <v>2024</v>
          </cell>
          <cell r="B726">
            <v>10</v>
          </cell>
          <cell r="D726" t="str">
            <v>Ostatní - nezařazené</v>
          </cell>
          <cell r="G726">
            <v>1000</v>
          </cell>
        </row>
        <row r="727">
          <cell r="A727">
            <v>2024</v>
          </cell>
          <cell r="B727">
            <v>10</v>
          </cell>
          <cell r="D727" t="str">
            <v>Ostatní - nezařazené</v>
          </cell>
          <cell r="G727">
            <v>1530</v>
          </cell>
        </row>
        <row r="728">
          <cell r="A728">
            <v>2024</v>
          </cell>
          <cell r="B728">
            <v>10</v>
          </cell>
          <cell r="D728" t="str">
            <v>Ostatní spotřeba - výroba</v>
          </cell>
          <cell r="G728">
            <v>84243</v>
          </cell>
        </row>
        <row r="729">
          <cell r="A729">
            <v>2024</v>
          </cell>
          <cell r="B729">
            <v>10</v>
          </cell>
          <cell r="D729" t="str">
            <v>Parkovné</v>
          </cell>
          <cell r="G729">
            <v>50</v>
          </cell>
        </row>
        <row r="730">
          <cell r="A730">
            <v>2024</v>
          </cell>
          <cell r="B730">
            <v>10</v>
          </cell>
          <cell r="D730" t="str">
            <v>Patenty, certifikace zařízení</v>
          </cell>
          <cell r="G730">
            <v>16892</v>
          </cell>
        </row>
        <row r="731">
          <cell r="A731">
            <v>2024</v>
          </cell>
          <cell r="B731">
            <v>10</v>
          </cell>
          <cell r="D731" t="str">
            <v>PHM</v>
          </cell>
          <cell r="G731">
            <v>1377</v>
          </cell>
        </row>
        <row r="732">
          <cell r="A732">
            <v>2024</v>
          </cell>
          <cell r="B732">
            <v>10</v>
          </cell>
          <cell r="D732" t="str">
            <v>POLOTOVARY VLASTNÍ VÝROBY</v>
          </cell>
          <cell r="G732">
            <v>147734</v>
          </cell>
        </row>
        <row r="733">
          <cell r="A733">
            <v>2024</v>
          </cell>
          <cell r="B733">
            <v>10</v>
          </cell>
          <cell r="D733" t="str">
            <v>Pořízení materiálu</v>
          </cell>
          <cell r="G733">
            <v>1283247</v>
          </cell>
        </row>
        <row r="734">
          <cell r="A734">
            <v>2024</v>
          </cell>
          <cell r="B734">
            <v>10</v>
          </cell>
          <cell r="D734" t="str">
            <v>Rozpracovaná výroba</v>
          </cell>
          <cell r="G734">
            <v>147733.95000000001</v>
          </cell>
        </row>
        <row r="735">
          <cell r="A735">
            <v>2024</v>
          </cell>
          <cell r="B735">
            <v>10</v>
          </cell>
          <cell r="D735" t="str">
            <v>Rozpracovaná výroba</v>
          </cell>
          <cell r="G735">
            <v>129759.82</v>
          </cell>
        </row>
        <row r="736">
          <cell r="A736">
            <v>2024</v>
          </cell>
          <cell r="B736">
            <v>10</v>
          </cell>
          <cell r="D736" t="str">
            <v>Rozpracovaná výroba</v>
          </cell>
          <cell r="G736">
            <v>377211.41</v>
          </cell>
        </row>
        <row r="737">
          <cell r="A737">
            <v>2024</v>
          </cell>
          <cell r="B737">
            <v>10</v>
          </cell>
          <cell r="D737" t="str">
            <v>SERVIS</v>
          </cell>
          <cell r="G737">
            <v>129760</v>
          </cell>
        </row>
        <row r="738">
          <cell r="A738">
            <v>2024</v>
          </cell>
          <cell r="B738">
            <v>10</v>
          </cell>
          <cell r="D738" t="str">
            <v>SKLAD HOTOVÁ ZAŘÍZENÍ</v>
          </cell>
          <cell r="G738">
            <v>377211</v>
          </cell>
        </row>
        <row r="739">
          <cell r="A739">
            <v>2024</v>
          </cell>
          <cell r="B739">
            <v>10</v>
          </cell>
          <cell r="D739" t="str">
            <v>Sklad NAKUPOVANÝCH DÍLU</v>
          </cell>
          <cell r="G739">
            <v>9375</v>
          </cell>
        </row>
        <row r="740">
          <cell r="A740">
            <v>2024</v>
          </cell>
          <cell r="B740">
            <v>10</v>
          </cell>
          <cell r="D740" t="str">
            <v>Software, www stránky</v>
          </cell>
          <cell r="G740">
            <v>54270</v>
          </cell>
        </row>
        <row r="741">
          <cell r="A741">
            <v>2024</v>
          </cell>
          <cell r="B741">
            <v>10</v>
          </cell>
          <cell r="D741" t="str">
            <v>Tržby za ND servis</v>
          </cell>
          <cell r="G741">
            <v>171458</v>
          </cell>
        </row>
        <row r="742">
          <cell r="A742">
            <v>2024</v>
          </cell>
          <cell r="B742">
            <v>10</v>
          </cell>
          <cell r="D742" t="str">
            <v>Výdej materiálu + zboží ze skladu</v>
          </cell>
          <cell r="G742">
            <v>-846953</v>
          </cell>
        </row>
        <row r="743">
          <cell r="A743">
            <v>2024</v>
          </cell>
          <cell r="B743">
            <v>11</v>
          </cell>
          <cell r="D743" t="str">
            <v>Patenty, certifikace zařízení</v>
          </cell>
          <cell r="G743">
            <v>36989</v>
          </cell>
        </row>
        <row r="744">
          <cell r="A744">
            <v>2024</v>
          </cell>
          <cell r="B744">
            <v>12</v>
          </cell>
          <cell r="D744" t="str">
            <v>Patenty, certifikace zařízení</v>
          </cell>
          <cell r="G744">
            <v>12367</v>
          </cell>
        </row>
        <row r="745">
          <cell r="A745">
            <v>2025</v>
          </cell>
          <cell r="B745">
            <v>3</v>
          </cell>
          <cell r="D745" t="str">
            <v>Patenty, certifikace zařízení</v>
          </cell>
          <cell r="G745">
            <v>14639</v>
          </cell>
        </row>
      </sheetData>
      <sheetData sheetId="7" refreshError="1"/>
      <sheetData sheetId="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 Vintrlik" refreshedDate="46031.625009027775" backgroundQuery="1" createdVersion="8" refreshedVersion="8" minRefreshableVersion="3" recordCount="0" supportSubquery="1" supportAdvancedDrill="1" xr:uid="{0034119E-5CEA-40D6-BD05-BDBF631AC05B}">
  <cacheSource type="external" connectionId="1"/>
  <cacheFields count="4">
    <cacheField name="[Rozpočet].[Skupina].[Skupina]" caption="Skupina" numFmtId="0" hierarchy="3" level="1">
      <sharedItems containsBlank="1" count="90">
        <m/>
        <s v="BOZP, PO, revize"/>
        <s v="Brusivo"/>
        <s v="Budova, venkovní prostory"/>
        <s v="Cestovné"/>
        <s v="Daň z příjmů - odložená"/>
        <s v="Daň z příjmů - splatná"/>
        <s v="Daně a poplatky"/>
        <s v="Dekorační předměty, údržba zeleně"/>
        <s v="Doprava"/>
        <s v="Dotace"/>
        <s v="Drobný HIM - nářadí"/>
        <s v="Drobný HIM - správní budova"/>
        <s v="Drobný HIM - vybavení dílny"/>
        <s v="Elektrická energie"/>
        <s v="Finanční náklady"/>
        <s v="Finanční výnosy"/>
        <s v="FVE"/>
        <s v="Inzerce"/>
        <s v="Kancelářský materiál"/>
        <s v="Kooperace - kapilární zkouška"/>
        <s v="Kooperace I"/>
        <s v="Kooperace II"/>
        <s v="Kurzy AJ, školení"/>
        <s v="Likvidace odpadu"/>
        <s v="Materiál na cestě"/>
        <s v="Mycí, čistící, desinfekční prostředky"/>
        <s v="Nájemné"/>
        <s v="Nedokončená výroba"/>
        <s v="Obalový materiál - krabice, palety"/>
        <s v="Obalový materiál - zámořské balení"/>
        <s v="Občerstvení - kuchyňka, kantýna"/>
        <s v="Občerstvení pro obchodní partnery"/>
        <s v="Odpis pohledávek - daňově"/>
        <s v="Odpisy"/>
        <s v="OOPP + BOZP vybavení"/>
        <s v="OP k nepromlčeným pohledávkám"/>
        <s v="Opravná položka k materiálu"/>
        <s v="Opravná položka k výrobkům"/>
        <s v="Opravy a údržba vozidel"/>
        <s v="Opravy, servisy, montáže"/>
        <s v="Osobní náklady"/>
        <s v="Ostatní pokuty a penále"/>
        <s v="Ostatní služby k zakázce"/>
        <s v="Ostatní spotřeba - režie"/>
        <s v="Ostatní spotřeba - výroba"/>
        <s v="Ostatní spotřeba - výzkum a vývoj"/>
        <s v="Ostatní výnosy - nezařazené"/>
        <s v="Ostatní-nezařazené"/>
        <s v="Patenty, certifikace zařízení"/>
        <s v="PHM"/>
        <s v="Plyn"/>
        <s v="Plyn na svařování"/>
        <s v="Pojistná plnění"/>
        <s v="Pojištění vozidel"/>
        <s v="Pojištění zaměstnanců"/>
        <s v="POLOTOVARY VLASTNÍ VÝROBY"/>
        <s v="Poradenství (právní, dotační)"/>
        <s v="Pořízení materiálu"/>
        <s v="Poskytnuté nepeněžité dary"/>
        <s v="Poštovné"/>
        <s v="Pronájem Bezručova"/>
        <s v="Pronájem plynových lahví"/>
        <s v="Propagace, reklama"/>
        <s v="Propagační předměty (do 500,- Kč/ks)"/>
        <s v="Provize za zprostředkování obchodu"/>
        <s v="Příspěvek REsolar (admin. náklady)"/>
        <s v="Rozpracovaná výroba"/>
        <s v="Řezání vodním paprskem"/>
        <s v="SERVIS"/>
        <s v="SKLAD HOTOVÁ ZAŘÍZENÍ"/>
        <s v="Sklad NAKUPOVANÝCH DÍLU"/>
        <s v="SKLAD PAPRSEK"/>
        <s v="Software, www stránky"/>
        <s v="Svařovací materiál"/>
        <s v="Telefon, internet"/>
        <s v="Tonery"/>
        <s v="Tržby z prodeje materiálu + majetku"/>
        <s v="Tržby za ND servis"/>
        <s v="Tržby za vlastní výrobky + zboží"/>
        <s v="Tvorba a zúčtování ostatních rezerv"/>
        <s v="Tvorba a zúčtování rezerv podle zvláštních právníc"/>
        <s v="Účetní, dańové poradenství"/>
        <s v="Úklid budovy"/>
        <s v="Veletrhy, výstavy"/>
        <s v="Voda"/>
        <s v="Vybavení kanceláří"/>
        <s v="Výdej materiálu + zboží ze skladu"/>
        <s v="Výrobní stroje"/>
        <s v="ZC HIM daňově"/>
      </sharedItems>
    </cacheField>
    <cacheField name="[Rozpočet].[Nazev].[Nazev]" caption="Nazev" numFmtId="0" hierarchy="4" level="1">
      <sharedItems count="198">
        <s v="- PHM - Peugeot Boxer (RZ: 7Z9 7082)"/>
        <s v="- PHM - Renault Master (RZ: 8P9 2790)"/>
        <s v="- PHM - Renault Trafic (RZ: 3BK 0853)"/>
        <s v="- Renault Master (RZ: 8P9 2790)"/>
        <s v="- Renault Trafic (RZ: 3BK 0853)"/>
        <s v="- sklad NAKUPOVANÝCH DÍLU"/>
        <s v="- BOZP, PO, revize"/>
        <s v="- brusivo"/>
        <s v="- budova, venkovní prostory"/>
        <s v="- letenky"/>
        <s v="- tuzemsko"/>
        <s v="- ubytování na služební cestě"/>
        <s v="- zahraničí"/>
        <s v="Daň z příjmů - odložená"/>
        <s v="Daň z příjmů - splatná"/>
        <s v="- dálniční známky"/>
        <s v="- daň z elektřiny"/>
        <s v="- mýtné"/>
        <s v="- soudní poplatky"/>
        <s v="- správní poplatky"/>
        <s v="- vízum"/>
        <s v="Daň z nemovitých věcí"/>
        <s v="- dekorační předměty, údržba zeleně"/>
        <s v="- doprava"/>
        <s v="- dotace DIGI PRO 10192"/>
        <s v="- dotace Digi pro školení dovedností AI"/>
        <s v="- dotace INOVAČNÍ VOUCHERY II"/>
        <s v="- dotace INOVAČNÍ VOUCHERY III"/>
        <s v="- dotace MARKETING 10"/>
        <s v="- dotace OPZ+"/>
        <s v="- dotace ostatní"/>
        <s v="- dotace TREND 3 - REGLOBE"/>
        <s v="- drobný HIM - nářadí"/>
        <s v="- drobný HIM - správní budova"/>
        <s v="- drobný HIM - vybavení dílny"/>
        <s v="- elektrická energie"/>
        <s v="- bankovní poplatky"/>
        <s v="- z měnových konverzí (FORWARDU)"/>
        <s v="- z úvěrů na auta"/>
        <s v="- z úvěrů na FVE, halu, laser"/>
        <s v="- z úvěru SALMON SERVICES"/>
        <s v="Kursové ztráty"/>
        <s v="- z měnových konverzí (FORWARDY)"/>
        <s v="Kursové zisky"/>
        <s v="Úroky"/>
        <s v="- elektřina E.ON (zelený bonus)"/>
        <s v="- odvod ze slunečního záření"/>
        <s v="- inzerce"/>
        <s v="- kancelářský materiál"/>
        <s v="- kooperace - kapilární zkouška"/>
        <s v="- kooperace I"/>
        <s v="- kooperace II"/>
        <s v="- kurzy AJ, školení"/>
        <s v="- likvidace odpadu"/>
        <s v="- materiál na cestě"/>
        <s v="- mycí, čistící, desinfekční prostředky"/>
        <s v="- nájemné"/>
        <s v="Nedokončená výroba"/>
        <s v="- obalový materiál"/>
        <s v="- palety"/>
        <s v="- zámořské balení"/>
        <s v="- občerstvení - kuchyňka, kantýna"/>
        <s v="- občerstvení - obchodní partneři"/>
        <s v="- vouchery pro obchodní partnery"/>
        <s v="- odpis pohledávek - daňově"/>
        <s v="- odpisy forem (účetní = daňový) (HMF)"/>
        <s v="- odpisy HIM (STA+HM1+FVE)"/>
        <s v="- OP účetní k pohledávkám"/>
        <s v="- OP účetní k zásobám"/>
        <s v="HIM dlouhodobý - Inovace 8 (HM3)"/>
        <s v="HIM drobný - Inovace 8 (DM2)"/>
        <s v="Nehmotný majetek - SW Inovace 8 (NM3)"/>
        <s v="-odpisy DHIM (účetní = daňový) (DM1)"/>
        <s v="- BOZP, PO vybavení"/>
        <s v="- OOPP pro zaměstnance"/>
        <s v="- OP k nepromlčeným pohledávkám"/>
        <s v="Opravná položka k materiálu"/>
        <s v="Opravná položka k výrobkům"/>
        <s v="- Citroen Berlingo (RZ. 1BL 9518)"/>
        <s v="- Hyundai i20 (RZ: 8B6 6517)"/>
        <s v="- IVECO (RZ: 1BS 5697)"/>
        <s v="- Mercedes (RZ: STELLA 77)"/>
        <s v="- ostatní spotřeba - auta"/>
        <s v="- Renault Trafic (RZ. 2BC 8801)"/>
        <s v="- Renault Trafic (RZ: 1BT 8468) - PRODÁNO"/>
        <s v="- Škoda Octavia (RZ: 4AB 1209)"/>
        <s v="- Škoda Octavia (RZ: 6AC 8759)"/>
        <s v="- Škoda Octavia (RZ: 7AS3004)"/>
        <s v="- Škoda Octavia (RZ: 8AI 9325)"/>
        <s v="- Škoda Rapid (RZ. 6AU 7496)"/>
        <s v="- Škoda Rapid (RZ: 3SN 5001)"/>
        <s v="- VOLVO (RZ: 8B4 6265)"/>
        <s v="- VW Crafter (RZ: 9B6 3309)"/>
        <s v="- VW Tiguan (RZ: 2BI 5122)"/>
        <s v="- VZV"/>
        <s v="- opravy, servisy, montáže (pozáruční)"/>
        <s v="- hrubé mzdy - DPP"/>
        <s v="- hrubé mzdy - HPP"/>
        <s v="- penzijní, životní pojištění zaměstnanců"/>
        <s v="- sociální pojištění"/>
        <s v="- vstupní prohlídky, očkování zaměstnanců"/>
        <s v="- zákonné pojištění zaměstnanců KOOPERATIVA"/>
        <s v="- zdravotní pojištění"/>
        <s v="Stravenkový paušál"/>
        <s v="Ostatní pokuty a penále"/>
        <s v="- ostatní služby - výrobní (k zakázce)"/>
        <s v="- ostatní spotřeba - režie"/>
        <s v="- ostatní spotřeba - výroba"/>
        <s v="- ostatní spotřeba - výzkum a vývoj"/>
        <s v="- haléřové vyrovnání"/>
        <s v="- ostatní provozní výnosy"/>
        <s v="- pronájem/užívání movitých věcí"/>
        <s v="- SKLADY - přebytky při inventarizaci"/>
        <s v="Ostatní provozní výnosy"/>
        <s v="- celní služby"/>
        <s v="- inventurní manko - SKLADY"/>
        <s v="- nedaňové náklady"/>
        <s v="- ostatní pojištění"/>
        <s v="- ostatní poplatky"/>
        <s v="- parkovné"/>
        <s v="- pojištění podnikatelských rizik"/>
        <s v="- pojištění řidičů CCS"/>
        <s v="- pojištění úvěru 7223601"/>
        <s v="- poplatky CCS"/>
        <s v="- předplatné"/>
        <s v="- rozhlasové a TV poplatky"/>
        <s v="- savý textil"/>
        <s v="členské příspěvky"/>
        <s v="- certifikace zařízení"/>
        <s v="- patenty, užitné vzory"/>
        <s v="- PHM - Citroen Berlingo (RZ: 1BL 9518)"/>
        <s v="- PHM - Hyundai i20 (RZ: 8B6 6517)"/>
        <s v="- PHM - IVECO (RZ: 1BS 5697)"/>
        <s v="- PHM - Mercedes (RZ: STELLA 77)"/>
        <s v="- PHM - Renault Trafic (RZ. 2BC 8801)"/>
        <s v="- PHM - Renault Trafic (RZ: 1BT 8468) - PRODÁNO"/>
        <s v="- PHM - Škoda Octavia (RZ 6AC 8759)"/>
        <s v="- PHM - Škoda Octavia (RZ: 4AB 1209)"/>
        <s v="- PHM - Škoda Octavia (RZ: 7AS 3004)"/>
        <s v="- PHM - Škoda Octavia (RZ: 8AI 9325)"/>
        <s v="- PHM - Škoda Rapid (RZ: 3SN 5001)"/>
        <s v="- PHM - Škoda Rapid (RZ: 6AU 7496)"/>
        <s v="- PHM - VOLVO (RZ: 8B4 6265)"/>
        <s v="- PHM - VW Crafter (RZ: 9B6 3309)"/>
        <s v="- PHM - VW Tiguan (RZ: 2BI 5126)"/>
        <s v="- PHM - VZV (plyn)"/>
        <s v="- PHM - VZV Capstan (benzin)"/>
        <s v="- plyn"/>
        <s v="- plyn laser"/>
        <s v="- plyn na svařování"/>
        <s v="- pojistná plnění auta"/>
        <s v="- pojištění aut"/>
        <s v="- pojištění zaměstnanců"/>
        <s v="Polotovary vlastní výroby"/>
        <s v="- poradenství (právní, dotační)"/>
        <s v="- právní služby"/>
        <s v="- pořízení materiálu"/>
        <s v="Poskytnuté nepeněžité dary"/>
        <s v="- poštovné"/>
        <s v="- pronájem pozemku EMBRA a jiný pronájem"/>
        <s v="- pronájem plynových lahví"/>
        <s v="- propagace, reklama"/>
        <s v="- propagační předměty (do 500,- Kč/ks)"/>
        <s v="- provize za zprostředkování obchodu"/>
        <s v="- příspěvek REsolar (admin. náklady)"/>
        <s v="- nedokončená výroba"/>
        <s v="- sklad HOTOVÁ ZAŘÍZENÍ"/>
        <s v="Změna stavu polotovarů sklad SERVIS"/>
        <s v="Změna stavu polotovarů vlastní výroby"/>
        <s v="- řezání vodním paprskem"/>
        <s v="Polotovary pro SERVIS"/>
        <s v="- sklad HOTOVÁ ZAŘIZENÍ"/>
        <s v="- sklad HUTNÍ"/>
        <s v="- sklad PAPRSEK_TECH"/>
        <s v="- software, www stránky"/>
        <s v="- svařovací materiál"/>
        <s v="- telefon, internet"/>
        <s v="- tonery"/>
        <s v="Tržby z prodeje dlouhodobého nehmotného a hmotného majetku"/>
        <s v="Tržby z prodeje materiálu"/>
        <s v="- vlastní výrobky - ND servis"/>
        <s v="- montáže vlastních zařízení"/>
        <s v="- ostatní služby (testování, apod.)"/>
        <s v="- vlastní zařízení (bez montáže)"/>
        <s v="- zakázky ostatní (ZO) bez montáže"/>
        <s v="Tvorba a zúčtování ostatních rezerv"/>
        <s v="Tvorba a zúčtování rezerv podle zvláštních právních předpisů"/>
        <s v="- účetní, dańové poradenství"/>
        <s v="- úklid budovy"/>
        <s v="- veletrhy, výstavy"/>
        <s v="- voda"/>
        <s v="- vybavení kanceláří"/>
        <s v="- materiál kanban"/>
        <s v="- rozdíly z příjemek"/>
        <s v="- výdejky - sklad HUTNÍ"/>
        <s v="- výdejky - sklad PAPRSEK_TECH"/>
        <s v="- výrobní stroje"/>
        <s v="- ZC HIM daňově"/>
      </sharedItems>
    </cacheField>
    <cacheField name="[Measures].[Součet Skutecnost]" caption="Součet Skutecnost" numFmtId="0" hierarchy="10" level="32767"/>
    <cacheField name="[Rozpočet].[Mesic].[Mesic]" caption="Mesic" numFmtId="0" hierarchy="1" level="1">
      <sharedItems containsSemiMixedTypes="0" containsNonDate="0" containsString="0"/>
    </cacheField>
  </cacheFields>
  <cacheHierarchies count="11">
    <cacheHierarchy uniqueName="[Rozpočet].[Rok]" caption="Rok" attribute="1" defaultMemberUniqueName="[Rozpočet].[Rok].[All]" allUniqueName="[Rozpočet].[Rok].[All]" dimensionUniqueName="[Rozpočet]" displayFolder="" count="0" memberValueDatatype="20" unbalanced="0"/>
    <cacheHierarchy uniqueName="[Rozpočet].[Mesic]" caption="Mesic" attribute="1" defaultMemberUniqueName="[Rozpočet].[Mesic].[All]" allUniqueName="[Rozpočet].[Mesic].[All]" dimensionUniqueName="[Rozpočet]" displayFolder="" count="2" memberValueDatatype="20" unbalanced="0">
      <fieldsUsage count="2">
        <fieldUsage x="-1"/>
        <fieldUsage x="3"/>
      </fieldsUsage>
    </cacheHierarchy>
    <cacheHierarchy uniqueName="[Rozpočet].[Obdobi]" caption="Obdobi" attribute="1" defaultMemberUniqueName="[Rozpočet].[Obdobi].[All]" allUniqueName="[Rozpočet].[Obdobi].[All]" dimensionUniqueName="[Rozpočet]" displayFolder="" count="0" memberValueDatatype="130" unbalanced="0"/>
    <cacheHierarchy uniqueName="[Rozpočet].[Skupina]" caption="Skupina" attribute="1" defaultMemberUniqueName="[Rozpočet].[Skupina].[All]" allUniqueName="[Rozpočet].[Skupina].[All]" dimensionUniqueName="[Rozpočet]" displayFolder="" count="2" memberValueDatatype="130" unbalanced="0">
      <fieldsUsage count="2">
        <fieldUsage x="-1"/>
        <fieldUsage x="0"/>
      </fieldsUsage>
    </cacheHierarchy>
    <cacheHierarchy uniqueName="[Rozpočet].[Nazev]" caption="Nazev" attribute="1" defaultMemberUniqueName="[Rozpočet].[Nazev].[All]" allUniqueName="[Rozpočet].[Nazev].[All]" dimensionUniqueName="[Rozpočet]" displayFolder="" count="2" memberValueDatatype="130" unbalanced="0">
      <fieldsUsage count="2">
        <fieldUsage x="-1"/>
        <fieldUsage x="1"/>
      </fieldsUsage>
    </cacheHierarchy>
    <cacheHierarchy uniqueName="[Rozpočet].[Ucet]" caption="Ucet" attribute="1" defaultMemberUniqueName="[Rozpočet].[Ucet].[All]" allUniqueName="[Rozpočet].[Ucet].[All]" dimensionUniqueName="[Rozpočet]" displayFolder="" count="0" memberValueDatatype="130" unbalanced="0"/>
    <cacheHierarchy uniqueName="[Rozpočet].[Skutecnost]" caption="Skutecnost" attribute="1" defaultMemberUniqueName="[Rozpočet].[Skutecnost].[All]" allUniqueName="[Rozpočet].[Skutecnost].[All]" dimensionUniqueName="[Rozpočet]" displayFolder="" count="0" memberValueDatatype="5" unbalanced="0"/>
    <cacheHierarchy uniqueName="[Measures].[__XL_Count Rozpočet]" caption="__XL_Count Rozpočet" measure="1" displayFolder="" measureGroup="Rozpočet" count="0" hidden="1"/>
    <cacheHierarchy uniqueName="[Measures].[__No measures defined]" caption="__No measures defined" measure="1" displayFolder="" count="0" hidden="1"/>
    <cacheHierarchy uniqueName="[Measures].[Součet Rok]" caption="Součet Rok" measure="1" displayFolder="" measureGroup="Rozpočet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učet Skutecnost]" caption="Součet Skutecnost" measure="1" displayFolder="" measureGroup="Rozpoče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Rozpočet" uniqueName="[Rozpočet]" caption="Rozpočet"/>
  </dimensions>
  <measureGroups count="1">
    <measureGroup name="Rozpočet" caption="Rozpočet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s Vintrlik" refreshedDate="46031.625007870367" backgroundQuery="1" createdVersion="3" refreshedVersion="8" minRefreshableVersion="3" recordCount="0" supportSubquery="1" supportAdvancedDrill="1" xr:uid="{2ADDD08C-1900-43A2-B326-01DBC75C780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">
    <cacheHierarchy uniqueName="[Rozpočet].[Rok]" caption="Rok" attribute="1" defaultMemberUniqueName="[Rozpočet].[Rok].[All]" allUniqueName="[Rozpočet].[Rok].[All]" dimensionUniqueName="[Rozpočet]" displayFolder="" count="0" memberValueDatatype="20" unbalanced="0"/>
    <cacheHierarchy uniqueName="[Rozpočet].[Mesic]" caption="Mesic" attribute="1" defaultMemberUniqueName="[Rozpočet].[Mesic].[All]" allUniqueName="[Rozpočet].[Mesic].[All]" dimensionUniqueName="[Rozpočet]" displayFolder="" count="2" memberValueDatatype="20" unbalanced="0"/>
    <cacheHierarchy uniqueName="[Rozpočet].[Obdobi]" caption="Obdobi" attribute="1" defaultMemberUniqueName="[Rozpočet].[Obdobi].[All]" allUniqueName="[Rozpočet].[Obdobi].[All]" dimensionUniqueName="[Rozpočet]" displayFolder="" count="0" memberValueDatatype="130" unbalanced="0"/>
    <cacheHierarchy uniqueName="[Rozpočet].[Skupina]" caption="Skupina" attribute="1" defaultMemberUniqueName="[Rozpočet].[Skupina].[All]" allUniqueName="[Rozpočet].[Skupina].[All]" dimensionUniqueName="[Rozpočet]" displayFolder="" count="2" memberValueDatatype="130" unbalanced="0"/>
    <cacheHierarchy uniqueName="[Rozpočet].[Nazev]" caption="Nazev" attribute="1" defaultMemberUniqueName="[Rozpočet].[Nazev].[All]" allUniqueName="[Rozpočet].[Nazev].[All]" dimensionUniqueName="[Rozpočet]" displayFolder="" count="0" memberValueDatatype="130" unbalanced="0"/>
    <cacheHierarchy uniqueName="[Rozpočet].[Ucet]" caption="Ucet" attribute="1" defaultMemberUniqueName="[Rozpočet].[Ucet].[All]" allUniqueName="[Rozpočet].[Ucet].[All]" dimensionUniqueName="[Rozpočet]" displayFolder="" count="0" memberValueDatatype="130" unbalanced="0"/>
    <cacheHierarchy uniqueName="[Rozpočet].[Skutecnost]" caption="Skutecnost" attribute="1" defaultMemberUniqueName="[Rozpočet].[Skutecnost].[All]" allUniqueName="[Rozpočet].[Skutecnost].[All]" dimensionUniqueName="[Rozpočet]" displayFolder="" count="0" memberValueDatatype="5" unbalanced="0"/>
    <cacheHierarchy uniqueName="[Measures].[__XL_Count Rozpočet]" caption="__XL_Count Rozpočet" measure="1" displayFolder="" measureGroup="Rozpočet" count="0" hidden="1"/>
    <cacheHierarchy uniqueName="[Measures].[__No measures defined]" caption="__No measures defined" measure="1" displayFolder="" count="0" hidden="1"/>
    <cacheHierarchy uniqueName="[Measures].[Součet Rok]" caption="Součet Rok" measure="1" displayFolder="" measureGroup="Rozpočet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učet Skutecnost]" caption="Součet Skutecnost" measure="1" displayFolder="" measureGroup="Rozpoče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337321726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160F5D-4F6C-4DA1-9ACD-A964DA5FD5D6}" name="Rozpočet" cacheId="17" applyNumberFormats="0" applyBorderFormats="0" applyFontFormats="0" applyPatternFormats="0" applyAlignmentFormats="0" applyWidthHeightFormats="1" dataCaption="Hodnoty" grandTotalCaption="Celkem" missingCaption="0" updatedVersion="8" minRefreshableVersion="3" subtotalHiddenItems="1" rowGrandTotals="0" itemPrintTitles="1" createdVersion="8" indent="0" showHeaders="0" compact="0" outline="1" outlineData="1" compactData="0" chartFormat="12">
  <location ref="B4:D293" firstHeaderRow="1" firstDataRow="1" firstDataCol="2"/>
  <pivotFields count="4">
    <pivotField axis="axisRow" compact="0" allDrilled="1" showAll="0" dataSourceSort="1" defaultAttributeDrillState="1">
      <items count="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t="default"/>
      </items>
    </pivotField>
    <pivotField axis="axisRow" compact="0" allDrilled="1" showAll="0" dataSourceSort="1" defaultAttributeDrillState="1">
      <items count="1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t="default"/>
      </items>
    </pivotField>
    <pivotField dataField="1" compact="0" showAll="0"/>
    <pivotField compact="0" allDrilled="1" showAll="0" dataSourceSort="1" defaultAttributeDrillState="1"/>
  </pivotFields>
  <rowFields count="2">
    <field x="0"/>
    <field x="1"/>
  </rowFields>
  <rowItems count="289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>
      <x v="2"/>
    </i>
    <i r="1">
      <x v="7"/>
    </i>
    <i>
      <x v="3"/>
    </i>
    <i r="1">
      <x v="8"/>
    </i>
    <i>
      <x v="4"/>
    </i>
    <i r="1">
      <x v="9"/>
    </i>
    <i r="1">
      <x v="10"/>
    </i>
    <i r="1">
      <x v="11"/>
    </i>
    <i r="1">
      <x v="12"/>
    </i>
    <i>
      <x v="5"/>
    </i>
    <i r="1">
      <x v="13"/>
    </i>
    <i>
      <x v="6"/>
    </i>
    <i r="1">
      <x v="14"/>
    </i>
    <i>
      <x v="7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8"/>
    </i>
    <i r="1">
      <x v="22"/>
    </i>
    <i>
      <x v="9"/>
    </i>
    <i r="1">
      <x v="23"/>
    </i>
    <i>
      <x v="10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>
      <x v="11"/>
    </i>
    <i r="1">
      <x v="32"/>
    </i>
    <i>
      <x v="12"/>
    </i>
    <i r="1">
      <x v="33"/>
    </i>
    <i>
      <x v="13"/>
    </i>
    <i r="1">
      <x v="34"/>
    </i>
    <i>
      <x v="14"/>
    </i>
    <i r="1">
      <x v="35"/>
    </i>
    <i>
      <x v="1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6"/>
    </i>
    <i r="1">
      <x v="42"/>
    </i>
    <i r="1">
      <x v="43"/>
    </i>
    <i r="1">
      <x v="44"/>
    </i>
    <i>
      <x v="17"/>
    </i>
    <i r="1">
      <x v="45"/>
    </i>
    <i r="1">
      <x v="46"/>
    </i>
    <i>
      <x v="18"/>
    </i>
    <i r="1">
      <x v="47"/>
    </i>
    <i>
      <x v="19"/>
    </i>
    <i r="1">
      <x v="48"/>
    </i>
    <i>
      <x v="20"/>
    </i>
    <i r="1">
      <x v="49"/>
    </i>
    <i>
      <x v="21"/>
    </i>
    <i r="1">
      <x v="50"/>
    </i>
    <i>
      <x v="22"/>
    </i>
    <i r="1">
      <x v="51"/>
    </i>
    <i>
      <x v="23"/>
    </i>
    <i r="1">
      <x v="52"/>
    </i>
    <i>
      <x v="24"/>
    </i>
    <i r="1">
      <x v="53"/>
    </i>
    <i>
      <x v="25"/>
    </i>
    <i r="1">
      <x v="54"/>
    </i>
    <i>
      <x v="26"/>
    </i>
    <i r="1">
      <x v="55"/>
    </i>
    <i>
      <x v="27"/>
    </i>
    <i r="1">
      <x v="56"/>
    </i>
    <i>
      <x v="28"/>
    </i>
    <i r="1">
      <x v="57"/>
    </i>
    <i>
      <x v="29"/>
    </i>
    <i r="1">
      <x v="58"/>
    </i>
    <i r="1">
      <x v="59"/>
    </i>
    <i>
      <x v="30"/>
    </i>
    <i r="1">
      <x v="60"/>
    </i>
    <i>
      <x v="31"/>
    </i>
    <i r="1">
      <x v="61"/>
    </i>
    <i>
      <x v="32"/>
    </i>
    <i r="1">
      <x v="62"/>
    </i>
    <i r="1">
      <x v="63"/>
    </i>
    <i>
      <x v="33"/>
    </i>
    <i r="1">
      <x v="64"/>
    </i>
    <i>
      <x v="3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>
      <x v="35"/>
    </i>
    <i r="1">
      <x v="73"/>
    </i>
    <i r="1">
      <x v="74"/>
    </i>
    <i>
      <x v="36"/>
    </i>
    <i r="1">
      <x v="75"/>
    </i>
    <i>
      <x v="37"/>
    </i>
    <i r="1">
      <x v="76"/>
    </i>
    <i>
      <x v="38"/>
    </i>
    <i r="1">
      <x v="77"/>
    </i>
    <i>
      <x v="39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>
      <x v="40"/>
    </i>
    <i r="1">
      <x v="95"/>
    </i>
    <i>
      <x v="41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>
      <x v="42"/>
    </i>
    <i r="1">
      <x v="104"/>
    </i>
    <i>
      <x v="43"/>
    </i>
    <i r="1">
      <x v="105"/>
    </i>
    <i>
      <x v="44"/>
    </i>
    <i r="1">
      <x v="106"/>
    </i>
    <i>
      <x v="45"/>
    </i>
    <i r="1">
      <x v="107"/>
    </i>
    <i>
      <x v="46"/>
    </i>
    <i r="1">
      <x v="108"/>
    </i>
    <i>
      <x v="47"/>
    </i>
    <i r="1">
      <x v="109"/>
    </i>
    <i r="1">
      <x v="110"/>
    </i>
    <i r="1">
      <x v="111"/>
    </i>
    <i r="1">
      <x v="112"/>
    </i>
    <i r="1">
      <x v="113"/>
    </i>
    <i>
      <x v="48"/>
    </i>
    <i r="1">
      <x v="114"/>
    </i>
    <i r="1">
      <x v="109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>
      <x v="49"/>
    </i>
    <i r="1">
      <x v="128"/>
    </i>
    <i r="1">
      <x v="129"/>
    </i>
    <i>
      <x v="50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>
      <x v="51"/>
    </i>
    <i r="1">
      <x v="147"/>
    </i>
    <i>
      <x v="52"/>
    </i>
    <i r="1">
      <x v="148"/>
    </i>
    <i r="1">
      <x v="149"/>
    </i>
    <i>
      <x v="53"/>
    </i>
    <i r="1">
      <x v="150"/>
    </i>
    <i>
      <x v="54"/>
    </i>
    <i r="1">
      <x v="151"/>
    </i>
    <i>
      <x v="55"/>
    </i>
    <i r="1">
      <x v="152"/>
    </i>
    <i>
      <x v="56"/>
    </i>
    <i r="1">
      <x v="153"/>
    </i>
    <i>
      <x v="57"/>
    </i>
    <i r="1">
      <x v="154"/>
    </i>
    <i r="1">
      <x v="155"/>
    </i>
    <i>
      <x v="58"/>
    </i>
    <i r="1">
      <x v="156"/>
    </i>
    <i>
      <x v="59"/>
    </i>
    <i r="1">
      <x v="157"/>
    </i>
    <i>
      <x v="60"/>
    </i>
    <i r="1">
      <x v="158"/>
    </i>
    <i>
      <x v="61"/>
    </i>
    <i r="1">
      <x v="159"/>
    </i>
    <i>
      <x v="62"/>
    </i>
    <i r="1">
      <x v="160"/>
    </i>
    <i>
      <x v="63"/>
    </i>
    <i r="1">
      <x v="161"/>
    </i>
    <i>
      <x v="64"/>
    </i>
    <i r="1">
      <x v="162"/>
    </i>
    <i>
      <x v="65"/>
    </i>
    <i r="1">
      <x v="163"/>
    </i>
    <i>
      <x v="66"/>
    </i>
    <i r="1">
      <x v="164"/>
    </i>
    <i>
      <x v="67"/>
    </i>
    <i r="1">
      <x v="165"/>
    </i>
    <i r="1">
      <x v="166"/>
    </i>
    <i r="1">
      <x v="167"/>
    </i>
    <i r="1">
      <x v="168"/>
    </i>
    <i>
      <x v="68"/>
    </i>
    <i r="1">
      <x v="169"/>
    </i>
    <i>
      <x v="69"/>
    </i>
    <i r="1">
      <x v="170"/>
    </i>
    <i>
      <x v="70"/>
    </i>
    <i r="1">
      <x v="171"/>
    </i>
    <i>
      <x v="71"/>
    </i>
    <i r="1">
      <x v="172"/>
    </i>
    <i>
      <x v="72"/>
    </i>
    <i r="1">
      <x v="173"/>
    </i>
    <i>
      <x v="73"/>
    </i>
    <i r="1">
      <x v="174"/>
    </i>
    <i>
      <x v="74"/>
    </i>
    <i r="1">
      <x v="175"/>
    </i>
    <i>
      <x v="75"/>
    </i>
    <i r="1">
      <x v="176"/>
    </i>
    <i>
      <x v="76"/>
    </i>
    <i r="1">
      <x v="177"/>
    </i>
    <i>
      <x v="77"/>
    </i>
    <i r="1">
      <x v="178"/>
    </i>
    <i r="1">
      <x v="179"/>
    </i>
    <i>
      <x v="78"/>
    </i>
    <i r="1">
      <x v="180"/>
    </i>
    <i>
      <x v="79"/>
    </i>
    <i r="1">
      <x v="181"/>
    </i>
    <i r="1">
      <x v="182"/>
    </i>
    <i r="1">
      <x v="183"/>
    </i>
    <i r="1">
      <x v="184"/>
    </i>
    <i>
      <x v="80"/>
    </i>
    <i r="1">
      <x v="185"/>
    </i>
    <i>
      <x v="81"/>
    </i>
    <i r="1">
      <x v="186"/>
    </i>
    <i>
      <x v="82"/>
    </i>
    <i r="1">
      <x v="187"/>
    </i>
    <i>
      <x v="83"/>
    </i>
    <i r="1">
      <x v="188"/>
    </i>
    <i>
      <x v="84"/>
    </i>
    <i r="1">
      <x v="189"/>
    </i>
    <i>
      <x v="85"/>
    </i>
    <i r="1">
      <x v="190"/>
    </i>
    <i>
      <x v="86"/>
    </i>
    <i r="1">
      <x v="191"/>
    </i>
    <i>
      <x v="87"/>
    </i>
    <i r="1">
      <x v="192"/>
    </i>
    <i r="1">
      <x v="193"/>
    </i>
    <i r="1">
      <x v="194"/>
    </i>
    <i r="1">
      <x v="195"/>
    </i>
    <i>
      <x v="88"/>
    </i>
    <i r="1">
      <x v="196"/>
    </i>
    <i>
      <x v="89"/>
    </i>
    <i r="1">
      <x v="197"/>
    </i>
  </rowItems>
  <colItems count="1">
    <i/>
  </colItems>
  <dataFields count="1">
    <dataField name="Skutečnost" fld="2" baseField="1" baseItem="1" numFmtId="3"/>
  </dataFields>
  <formats count="8">
    <format dxfId="43">
      <pivotArea dataOnly="0" labelOnly="1" grandCol="1" outline="0" fieldPosition="0"/>
    </format>
    <format dxfId="42">
      <pivotArea dataOnly="0" labelOnly="1" grandCol="1" outline="0" fieldPosition="0"/>
    </format>
    <format dxfId="41">
      <pivotArea dataOnly="0" labelOnly="1" grandCol="1" outline="0" fieldPosition="0"/>
    </format>
    <format dxfId="40">
      <pivotArea type="origin" dataOnly="0" labelOnly="1" outline="0" fieldPosition="0"/>
    </format>
    <format dxfId="39">
      <pivotArea type="origin" dataOnly="0" labelOnly="1" outline="0" fieldPosition="0"/>
    </format>
    <format dxfId="38">
      <pivotArea type="origin" dataOnly="0" labelOnly="1" outline="0" fieldPosition="0"/>
    </format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dataOnly="0" labelOnly="1" outline="0" axis="axisValues" fieldPosition="0"/>
    </format>
  </formats>
  <pivotHierarchies count="11"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Skutečnost"/>
  </pivotHierarchies>
  <pivotTableStyleInfo name="PivotStyleLight8" showRowHeaders="1" showColHeaders="0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ozpoče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Mesic" xr10:uid="{882F4AD0-5019-4138-BB8C-D1BC17A23B1D}" sourceName="[Rozpočet].[Mesic]">
  <pivotTables>
    <pivotTable tabId="30" name="Rozpočet"/>
  </pivotTables>
  <data>
    <olap pivotCacheId="1337321726">
      <levels count="2">
        <level uniqueName="[Rozpočet].[Mesic].[(All)]" sourceCaption="(All)" count="0"/>
        <level uniqueName="[Rozpočet].[Mesic].[Mesic]" sourceCaption="Mesic" count="12" crossFilter="showItemsWithNoData">
          <ranges>
            <range startItem="0">
              <i n="[Rozpočet].[Mesic].&amp;[1]" c="1"/>
              <i n="[Rozpočet].[Mesic].&amp;[2]" c="2"/>
              <i n="[Rozpočet].[Mesic].&amp;[3]" c="3"/>
              <i n="[Rozpočet].[Mesic].&amp;[4]" c="4"/>
              <i n="[Rozpočet].[Mesic].&amp;[5]" c="5"/>
              <i n="[Rozpočet].[Mesic].&amp;[6]" c="6"/>
              <i n="[Rozpočet].[Mesic].&amp;[7]" c="7"/>
              <i n="[Rozpočet].[Mesic].&amp;[8]" c="8"/>
              <i n="[Rozpočet].[Mesic].&amp;[9]" c="9"/>
              <i n="[Rozpočet].[Mesic].&amp;[10]" c="10"/>
              <i n="[Rozpočet].[Mesic].&amp;[11]" c="11"/>
              <i n="[Rozpočet].[Mesic].&amp;[12]" c="12"/>
            </range>
          </ranges>
        </level>
      </levels>
      <selections count="1">
        <selection n="[Rozpočet].[Mesic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Skupina" xr10:uid="{D3C8E507-1646-453F-BF94-7A15F76FE918}" sourceName="[Rozpočet].[Skupina]">
  <pivotTables>
    <pivotTable tabId="30" name="Rozpočet"/>
  </pivotTables>
  <data>
    <olap pivotCacheId="1337321726">
      <levels count="2">
        <level uniqueName="[Rozpočet].[Skupina].[(All)]" sourceCaption="(All)" count="0"/>
        <level uniqueName="[Rozpočet].[Skupina].[Skupina]" sourceCaption="Skupina" count="90">
          <ranges>
            <range startItem="0">
              <i n="[Rozpočet].[Skupina].&amp;" c="(prázdné)"/>
              <i n="[Rozpočet].[Skupina].&amp;[BOZP, PO, revize]" c="BOZP, PO, revize"/>
              <i n="[Rozpočet].[Skupina].&amp;[Brusivo]" c="Brusivo"/>
              <i n="[Rozpočet].[Skupina].&amp;[Budova, venkovní prostory]" c="Budova, venkovní prostory"/>
              <i n="[Rozpočet].[Skupina].&amp;[Cestovné]" c="Cestovné"/>
              <i n="[Rozpočet].[Skupina].&amp;[Daň z příjmů - odložená]" c="Daň z příjmů - odložená"/>
              <i n="[Rozpočet].[Skupina].&amp;[Daň z příjmů - splatná]" c="Daň z příjmů - splatná"/>
              <i n="[Rozpočet].[Skupina].&amp;[Daně a poplatky]" c="Daně a poplatky"/>
              <i n="[Rozpočet].[Skupina].&amp;[Dekorační předměty, údržba zeleně]" c="Dekorační předměty, údržba zeleně"/>
              <i n="[Rozpočet].[Skupina].&amp;[Doprava]" c="Doprava"/>
              <i n="[Rozpočet].[Skupina].&amp;[Dotace]" c="Dotace"/>
              <i n="[Rozpočet].[Skupina].&amp;[Drobný HIM - nářadí]" c="Drobný HIM - nářadí"/>
              <i n="[Rozpočet].[Skupina].&amp;[Drobný HIM - správní budova]" c="Drobný HIM - správní budova"/>
              <i n="[Rozpočet].[Skupina].&amp;[Drobný HIM - vybavení dílny]" c="Drobný HIM - vybavení dílny"/>
              <i n="[Rozpočet].[Skupina].&amp;[Elektrická energie]" c="Elektrická energie"/>
              <i n="[Rozpočet].[Skupina].&amp;[Finanční náklady]" c="Finanční náklady"/>
              <i n="[Rozpočet].[Skupina].&amp;[Finanční výnosy]" c="Finanční výnosy"/>
              <i n="[Rozpočet].[Skupina].&amp;[FVE]" c="FVE"/>
              <i n="[Rozpočet].[Skupina].&amp;[Inzerce]" c="Inzerce"/>
              <i n="[Rozpočet].[Skupina].&amp;[Kancelářský materiál]" c="Kancelářský materiál"/>
              <i n="[Rozpočet].[Skupina].&amp;[Kooperace - kapilární zkouška]" c="Kooperace - kapilární zkouška"/>
              <i n="[Rozpočet].[Skupina].&amp;[Kooperace I]" c="Kooperace I"/>
              <i n="[Rozpočet].[Skupina].&amp;[Kooperace II]" c="Kooperace II"/>
              <i n="[Rozpočet].[Skupina].&amp;[Kurzy AJ, školení]" c="Kurzy AJ, školení"/>
              <i n="[Rozpočet].[Skupina].&amp;[Likvidace odpadu]" c="Likvidace odpadu"/>
              <i n="[Rozpočet].[Skupina].&amp;[Materiál na cestě]" c="Materiál na cestě"/>
              <i n="[Rozpočet].[Skupina].&amp;[Mycí, čistící, desinfekční prostředky]" c="Mycí, čistící, desinfekční prostředky"/>
              <i n="[Rozpočet].[Skupina].&amp;[Nájemné]" c="Nájemné"/>
              <i n="[Rozpočet].[Skupina].&amp;[Nedokončená výroba]" c="Nedokončená výroba"/>
              <i n="[Rozpočet].[Skupina].&amp;[Obalový materiál - krabice, palety]" c="Obalový materiál - krabice, palety"/>
              <i n="[Rozpočet].[Skupina].&amp;[Obalový materiál - zámořské balení]" c="Obalový materiál - zámořské balení"/>
              <i n="[Rozpočet].[Skupina].&amp;[Občerstvení - kuchyňka, kantýna]" c="Občerstvení - kuchyňka, kantýna"/>
              <i n="[Rozpočet].[Skupina].&amp;[Občerstvení pro obchodní partnery]" c="Občerstvení pro obchodní partnery"/>
              <i n="[Rozpočet].[Skupina].&amp;[Odpis pohledávek - daňově]" c="Odpis pohledávek - daňově"/>
              <i n="[Rozpočet].[Skupina].&amp;[Odpisy]" c="Odpisy"/>
              <i n="[Rozpočet].[Skupina].&amp;[OOPP + BOZP vybavení]" c="OOPP + BOZP vybavení"/>
              <i n="[Rozpočet].[Skupina].&amp;[OP k nepromlčeným pohledávkám]" c="OP k nepromlčeným pohledávkám"/>
              <i n="[Rozpočet].[Skupina].&amp;[Opravná položka k materiálu]" c="Opravná položka k materiálu"/>
              <i n="[Rozpočet].[Skupina].&amp;[Opravná položka k výrobkům]" c="Opravná položka k výrobkům"/>
              <i n="[Rozpočet].[Skupina].&amp;[Opravy a údržba vozidel]" c="Opravy a údržba vozidel"/>
              <i n="[Rozpočet].[Skupina].&amp;[Opravy, servisy, montáže]" c="Opravy, servisy, montáže"/>
              <i n="[Rozpočet].[Skupina].&amp;[Osobní náklady]" c="Osobní náklady"/>
              <i n="[Rozpočet].[Skupina].&amp;[Ostatní pokuty a penále]" c="Ostatní pokuty a penále"/>
              <i n="[Rozpočet].[Skupina].&amp;[Ostatní služby k zakázce]" c="Ostatní služby k zakázce"/>
              <i n="[Rozpočet].[Skupina].&amp;[Ostatní spotřeba - režie]" c="Ostatní spotřeba - režie"/>
              <i n="[Rozpočet].[Skupina].&amp;[Ostatní spotřeba - výroba]" c="Ostatní spotřeba - výroba"/>
              <i n="[Rozpočet].[Skupina].&amp;[Ostatní spotřeba - výzkum a vývoj]" c="Ostatní spotřeba - výzkum a vývoj"/>
              <i n="[Rozpočet].[Skupina].&amp;[Ostatní výnosy - nezařazené]" c="Ostatní výnosy - nezařazené"/>
              <i n="[Rozpočet].[Skupina].&amp;[Ostatní-nezařazené]" c="Ostatní-nezařazené"/>
              <i n="[Rozpočet].[Skupina].&amp;[Patenty, certifikace zařízení]" c="Patenty, certifikace zařízení"/>
              <i n="[Rozpočet].[Skupina].&amp;[PHM]" c="PHM"/>
              <i n="[Rozpočet].[Skupina].&amp;[Plyn]" c="Plyn"/>
              <i n="[Rozpočet].[Skupina].&amp;[Plyn na svařování]" c="Plyn na svařování"/>
              <i n="[Rozpočet].[Skupina].&amp;[Pojistná plnění]" c="Pojistná plnění"/>
              <i n="[Rozpočet].[Skupina].&amp;[Pojištění vozidel]" c="Pojištění vozidel"/>
              <i n="[Rozpočet].[Skupina].&amp;[Pojištění zaměstnanců]" c="Pojištění zaměstnanců"/>
              <i n="[Rozpočet].[Skupina].&amp;[POLOTOVARY VLASTNÍ VÝROBY]" c="POLOTOVARY VLASTNÍ VÝROBY"/>
              <i n="[Rozpočet].[Skupina].&amp;[Poradenství (právní, dotační)]" c="Poradenství (právní, dotační)"/>
              <i n="[Rozpočet].[Skupina].&amp;[Pořízení materiálu]" c="Pořízení materiálu"/>
              <i n="[Rozpočet].[Skupina].&amp;[Poskytnuté nepeněžité dary]" c="Poskytnuté nepeněžité dary"/>
              <i n="[Rozpočet].[Skupina].&amp;[Poštovné]" c="Poštovné"/>
              <i n="[Rozpočet].[Skupina].&amp;[Pronájem Bezručova]" c="Pronájem Bezručova"/>
              <i n="[Rozpočet].[Skupina].&amp;[Pronájem plynových lahví]" c="Pronájem plynových lahví"/>
              <i n="[Rozpočet].[Skupina].&amp;[Propagace, reklama]" c="Propagace, reklama"/>
              <i n="[Rozpočet].[Skupina].&amp;[Propagační předměty (do 500,- Kč/ks)]" c="Propagační předměty (do 500,- Kč/ks)"/>
              <i n="[Rozpočet].[Skupina].&amp;[Provize za zprostředkování obchodu]" c="Provize za zprostředkování obchodu"/>
              <i n="[Rozpočet].[Skupina].&amp;[Příspěvek REsolar (admin. náklady)]" c="Příspěvek REsolar (admin. náklady)"/>
              <i n="[Rozpočet].[Skupina].&amp;[Rozpracovaná výroba]" c="Rozpracovaná výroba"/>
              <i n="[Rozpočet].[Skupina].&amp;[Řezání vodním paprskem]" c="Řezání vodním paprskem"/>
              <i n="[Rozpočet].[Skupina].&amp;[SERVIS]" c="SERVIS"/>
              <i n="[Rozpočet].[Skupina].&amp;[SKLAD HOTOVÁ ZAŘÍZENÍ]" c="SKLAD HOTOVÁ ZAŘÍZENÍ"/>
              <i n="[Rozpočet].[Skupina].&amp;[Sklad NAKUPOVANÝCH DÍLU]" c="Sklad NAKUPOVANÝCH DÍLU"/>
              <i n="[Rozpočet].[Skupina].&amp;[SKLAD PAPRSEK]" c="SKLAD PAPRSEK"/>
              <i n="[Rozpočet].[Skupina].&amp;[Software, www stránky]" c="Software, www stránky"/>
              <i n="[Rozpočet].[Skupina].&amp;[Svařovací materiál]" c="Svařovací materiál"/>
              <i n="[Rozpočet].[Skupina].&amp;[Telefon, internet]" c="Telefon, internet"/>
              <i n="[Rozpočet].[Skupina].&amp;[Tonery]" c="Tonery"/>
              <i n="[Rozpočet].[Skupina].&amp;[Tržby z prodeje materiálu + majetku]" c="Tržby z prodeje materiálu + majetku"/>
              <i n="[Rozpočet].[Skupina].&amp;[Tržby za ND servis]" c="Tržby za ND servis"/>
              <i n="[Rozpočet].[Skupina].&amp;[Tržby za vlastní výrobky + zboží]" c="Tržby za vlastní výrobky + zboží"/>
              <i n="[Rozpočet].[Skupina].&amp;[Tvorba a zúčtování ostatních rezerv]" c="Tvorba a zúčtování ostatních rezerv"/>
              <i n="[Rozpočet].[Skupina].&amp;[Tvorba a zúčtování rezerv podle zvláštních právníc]" c="Tvorba a zúčtování rezerv podle zvláštních právníc"/>
              <i n="[Rozpočet].[Skupina].&amp;[Účetní, dańové poradenství]" c="Účetní, dańové poradenství"/>
              <i n="[Rozpočet].[Skupina].&amp;[Úklid budovy]" c="Úklid budovy"/>
              <i n="[Rozpočet].[Skupina].&amp;[Veletrhy, výstavy]" c="Veletrhy, výstavy"/>
              <i n="[Rozpočet].[Skupina].&amp;[Voda]" c="Voda"/>
              <i n="[Rozpočet].[Skupina].&amp;[Vybavení kanceláří]" c="Vybavení kanceláří"/>
              <i n="[Rozpočet].[Skupina].&amp;[Výdej materiálu + zboží ze skladu]" c="Výdej materiálu + zboží ze skladu"/>
              <i n="[Rozpočet].[Skupina].&amp;[Výrobní stroje]" c="Výrobní stroje"/>
              <i n="[Rozpočet].[Skupina].&amp;[ZC HIM daňově]" c="ZC HIM daňově"/>
            </range>
          </ranges>
        </level>
      </levels>
      <selections count="1">
        <selection n="[Rozpočet].[Skupina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ic" xr10:uid="{010EF675-1886-4352-B129-C790BAB2ED77}" cache="Průřez_Mesic" caption="Měsíc" columnCount="12" level="1" style="SlicerStyleOther1" rowHeight="253511"/>
  <slicer name="Skupina" xr10:uid="{B60BABF9-489B-480E-A810-A9D68696E8D1}" cache="Průřez_Skupina" caption="Skupina" level="1" style="SlicerStyleOther1" lockedPosition="1" rowHeight="253511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5857DD-77D9-4892-808C-D5A9F36875DA}" name="Rozpočet" displayName="Rozpočet" ref="A1:G2618" totalsRowShown="0">
  <autoFilter ref="A1:G2618" xr:uid="{725857DD-77D9-4892-808C-D5A9F36875DA}"/>
  <tableColumns count="7">
    <tableColumn id="1" xr3:uid="{9EF788A8-4FA3-420A-B70C-B9E16CFE60EE}" name="Rok"/>
    <tableColumn id="2" xr3:uid="{565C08FB-2721-4C89-B6ED-01C7BDBAC106}" name="Mesic"/>
    <tableColumn id="3" xr3:uid="{348E2FD2-7475-4477-99A3-A0E43F8EFEE2}" name="Obdobi"/>
    <tableColumn id="4" xr3:uid="{F8349B6B-C3D1-4053-BD30-B941498542C2}" name="Skupina"/>
    <tableColumn id="5" xr3:uid="{8CEFE6A4-EB73-483D-B672-FB786A72934A}" name="Nazev"/>
    <tableColumn id="6" xr3:uid="{8907E179-976F-4032-8EC8-BD47A3D62842}" name="Ucet"/>
    <tableColumn id="7" xr3:uid="{DDC663F2-57CB-480C-8B70-669DF28E115A}" name="Skutecno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3B3395-B4FE-4F67-A087-99BA20862498}" name="DetailTable" displayName="DetailTable" ref="A1:H3" totalsRowShown="0">
  <autoFilter ref="A1:H3" xr:uid="{2C3B3395-B4FE-4F67-A087-99BA20862498}"/>
  <tableColumns count="8">
    <tableColumn id="1" xr3:uid="{75E14DA2-3E2A-47FE-A6F5-56173A899015}" name="Datum" dataDxfId="34"/>
    <tableColumn id="2" xr3:uid="{353709B6-4ADD-4DBF-BC49-9259E025B287}" name="Firma"/>
    <tableColumn id="3" xr3:uid="{6CA87722-D5BC-442A-8EFE-3726FBF1C81C}" name="Zamestnanec"/>
    <tableColumn id="4" xr3:uid="{816A0546-525A-4B0C-AAA9-F596040F9C32}" name="Ucet"/>
    <tableColumn id="5" xr3:uid="{8D12A5A7-1214-4B68-A864-9478172F243E}" name="Nazev"/>
    <tableColumn id="6" xr3:uid="{40071A26-32E4-42D6-8071-43E77E1F5B45}" name="CastkaMD" dataDxfId="33"/>
    <tableColumn id="7" xr3:uid="{9D596F6C-E778-411C-97F3-91AC2FB37637}" name="CastkaDAL" dataDxfId="32"/>
    <tableColumn id="8" xr3:uid="{7250DCA2-FABE-4518-8613-42E625456DFD}" name="Popi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74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D737430-91A8-45FD-9ABF-81B624BF434C}">
  <we:reference id="wa200005271" version="2.0.0.0" store="cs-CZ" storeType="OMEX"/>
  <we:alternateReferences>
    <we:reference id="wa200005271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8F535-86F1-40E0-82AC-678D2A7BEE70}">
  <sheetPr codeName="List5">
    <pageSetUpPr fitToPage="1"/>
  </sheetPr>
  <dimension ref="B1:AS117"/>
  <sheetViews>
    <sheetView showGridLines="0" showRowColHeaders="0" zoomScaleNormal="100" workbookViewId="0">
      <pane xSplit="4" ySplit="5" topLeftCell="E33" activePane="bottomRight" state="frozen"/>
      <selection pane="topRight" activeCell="E1" sqref="E1"/>
      <selection pane="bottomLeft" activeCell="A6" sqref="A6"/>
      <selection pane="bottomRight" activeCell="E35" sqref="E3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6640625" defaultRowHeight="15" x14ac:dyDescent="0.35"/>
  <cols>
    <col min="1" max="1" width="2" style="16" customWidth="1"/>
    <col min="2" max="2" width="39" style="16" customWidth="1"/>
    <col min="3" max="3" width="9.44140625" style="16" customWidth="1"/>
    <col min="4" max="4" width="7" style="16" bestFit="1" customWidth="1"/>
    <col min="5" max="5" width="12.6640625" style="16" customWidth="1"/>
    <col min="6" max="17" width="12.6640625" style="5" hidden="1" customWidth="1"/>
    <col min="18" max="18" width="12.6640625" style="16" customWidth="1"/>
    <col min="19" max="19" width="12.6640625" style="5" customWidth="1"/>
    <col min="20" max="31" width="12.6640625" style="16" customWidth="1"/>
    <col min="32" max="32" width="12.6640625" style="5" customWidth="1"/>
    <col min="33" max="43" width="12.6640625" style="16" customWidth="1"/>
    <col min="44" max="44" width="0.33203125" style="16" customWidth="1"/>
    <col min="45" max="45" width="14.6640625" style="41" bestFit="1" customWidth="1"/>
    <col min="46" max="16384" width="8.6640625" style="16"/>
  </cols>
  <sheetData>
    <row r="1" spans="2:45" ht="15.6" customHeight="1" x14ac:dyDescent="0.35"/>
    <row r="2" spans="2:45" ht="15.6" customHeight="1" x14ac:dyDescent="0.35"/>
    <row r="3" spans="2:45" ht="15.6" customHeight="1" x14ac:dyDescent="0.35"/>
    <row r="4" spans="2:45" s="31" customFormat="1" ht="15.6" customHeight="1" x14ac:dyDescent="0.35">
      <c r="B4" s="74"/>
      <c r="C4" s="74"/>
      <c r="D4" s="74"/>
      <c r="E4" s="51"/>
      <c r="F4" s="74">
        <v>2025</v>
      </c>
      <c r="G4" s="74">
        <v>2025</v>
      </c>
      <c r="H4" s="74">
        <v>2025</v>
      </c>
      <c r="I4" s="74">
        <v>2025</v>
      </c>
      <c r="J4" s="74">
        <v>2025</v>
      </c>
      <c r="K4" s="74">
        <v>2025</v>
      </c>
      <c r="L4" s="74">
        <v>2025</v>
      </c>
      <c r="M4" s="74">
        <v>2025</v>
      </c>
      <c r="N4" s="74">
        <v>2025</v>
      </c>
      <c r="O4" s="74">
        <v>2026</v>
      </c>
      <c r="P4" s="74">
        <v>2026</v>
      </c>
      <c r="Q4" s="74">
        <v>2026</v>
      </c>
      <c r="R4" s="74" t="s">
        <v>50</v>
      </c>
      <c r="S4" s="74">
        <v>2025</v>
      </c>
      <c r="T4" s="74">
        <v>2025</v>
      </c>
      <c r="U4" s="74">
        <v>2025</v>
      </c>
      <c r="V4" s="74">
        <v>2025</v>
      </c>
      <c r="W4" s="74">
        <v>2025</v>
      </c>
      <c r="X4" s="74">
        <v>2025</v>
      </c>
      <c r="Y4" s="74">
        <v>2025</v>
      </c>
      <c r="Z4" s="74">
        <v>2025</v>
      </c>
      <c r="AA4" s="74">
        <v>2025</v>
      </c>
      <c r="AB4" s="74">
        <v>2026</v>
      </c>
      <c r="AC4" s="74">
        <v>2026</v>
      </c>
      <c r="AD4" s="74">
        <v>2026</v>
      </c>
      <c r="AE4" s="74" t="s">
        <v>108</v>
      </c>
      <c r="AF4" s="74">
        <v>2025</v>
      </c>
      <c r="AG4" s="74">
        <v>2025</v>
      </c>
      <c r="AH4" s="74">
        <v>2025</v>
      </c>
      <c r="AI4" s="74">
        <v>2025</v>
      </c>
      <c r="AJ4" s="74">
        <v>2025</v>
      </c>
      <c r="AK4" s="74">
        <v>2025</v>
      </c>
      <c r="AL4" s="74">
        <v>2025</v>
      </c>
      <c r="AM4" s="74">
        <v>2025</v>
      </c>
      <c r="AN4" s="74">
        <v>2025</v>
      </c>
      <c r="AO4" s="74">
        <v>2026</v>
      </c>
      <c r="AP4" s="74">
        <v>2026</v>
      </c>
      <c r="AQ4" s="74">
        <v>2026</v>
      </c>
      <c r="AS4" s="51"/>
    </row>
    <row r="5" spans="2:45" s="31" customFormat="1" ht="15.6" customHeight="1" x14ac:dyDescent="0.35">
      <c r="B5" s="101" t="e" cm="1">
        <f t="array" aca="1" ref="B5" ca="1">_xludf.INFO( “appname”) &amp; " " &amp; _xludf.INFO( “appver”)</f>
        <v>#NAME?</v>
      </c>
      <c r="C5" s="74" t="s">
        <v>46</v>
      </c>
      <c r="D5" s="74" t="s">
        <v>47</v>
      </c>
      <c r="E5" s="74" t="s">
        <v>49</v>
      </c>
      <c r="F5" s="74">
        <v>4</v>
      </c>
      <c r="G5" s="74">
        <v>5</v>
      </c>
      <c r="H5" s="74">
        <v>6</v>
      </c>
      <c r="I5" s="74">
        <v>7</v>
      </c>
      <c r="J5" s="74">
        <v>8</v>
      </c>
      <c r="K5" s="74">
        <v>9</v>
      </c>
      <c r="L5" s="74">
        <v>10</v>
      </c>
      <c r="M5" s="74">
        <v>11</v>
      </c>
      <c r="N5" s="74">
        <v>12</v>
      </c>
      <c r="O5" s="74">
        <v>1</v>
      </c>
      <c r="P5" s="74">
        <v>2</v>
      </c>
      <c r="Q5" s="74">
        <v>3</v>
      </c>
      <c r="R5" s="74" t="s">
        <v>49</v>
      </c>
      <c r="S5" s="74">
        <v>4</v>
      </c>
      <c r="T5" s="74">
        <v>5</v>
      </c>
      <c r="U5" s="74">
        <v>6</v>
      </c>
      <c r="V5" s="74">
        <v>7</v>
      </c>
      <c r="W5" s="74">
        <v>8</v>
      </c>
      <c r="X5" s="74">
        <v>9</v>
      </c>
      <c r="Y5" s="74">
        <v>10</v>
      </c>
      <c r="Z5" s="74">
        <v>11</v>
      </c>
      <c r="AA5" s="74">
        <v>12</v>
      </c>
      <c r="AB5" s="74">
        <v>1</v>
      </c>
      <c r="AC5" s="74">
        <v>2</v>
      </c>
      <c r="AD5" s="74">
        <v>3</v>
      </c>
      <c r="AE5" s="74" t="s">
        <v>49</v>
      </c>
      <c r="AF5" s="74">
        <v>4</v>
      </c>
      <c r="AG5" s="74">
        <v>5</v>
      </c>
      <c r="AH5" s="74">
        <v>6</v>
      </c>
      <c r="AI5" s="74">
        <v>7</v>
      </c>
      <c r="AJ5" s="74">
        <v>8</v>
      </c>
      <c r="AK5" s="74">
        <v>9</v>
      </c>
      <c r="AL5" s="74">
        <v>10</v>
      </c>
      <c r="AM5" s="74">
        <v>11</v>
      </c>
      <c r="AN5" s="74">
        <v>12</v>
      </c>
      <c r="AO5" s="74">
        <v>1</v>
      </c>
      <c r="AP5" s="74">
        <v>2</v>
      </c>
      <c r="AQ5" s="74">
        <v>3</v>
      </c>
      <c r="AS5" s="96" t="s">
        <v>507</v>
      </c>
    </row>
    <row r="6" spans="2:45" x14ac:dyDescent="0.35">
      <c r="B6" s="52" t="s">
        <v>68</v>
      </c>
      <c r="C6" s="75"/>
      <c r="D6" s="75"/>
      <c r="E6" s="11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114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114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S6" s="52"/>
    </row>
    <row r="7" spans="2:45" x14ac:dyDescent="0.35">
      <c r="B7" s="53" t="s">
        <v>51</v>
      </c>
      <c r="C7" s="76"/>
      <c r="D7" s="76"/>
      <c r="E7" s="115">
        <f>SUM(F7:Q7)</f>
        <v>730999.99999999988</v>
      </c>
      <c r="F7" s="78">
        <f>SUM(F8:F14)</f>
        <v>60916.666666666664</v>
      </c>
      <c r="G7" s="78">
        <f t="shared" ref="G7:Q7" si="0">SUM(G8:G14)</f>
        <v>60916.666666666664</v>
      </c>
      <c r="H7" s="78">
        <f t="shared" si="0"/>
        <v>60916.666666666664</v>
      </c>
      <c r="I7" s="78">
        <f t="shared" si="0"/>
        <v>60916.666666666664</v>
      </c>
      <c r="J7" s="78">
        <f t="shared" si="0"/>
        <v>60916.666666666664</v>
      </c>
      <c r="K7" s="78">
        <f t="shared" si="0"/>
        <v>60916.666666666664</v>
      </c>
      <c r="L7" s="78">
        <f t="shared" si="0"/>
        <v>60916.666666666664</v>
      </c>
      <c r="M7" s="78">
        <f t="shared" si="0"/>
        <v>60916.666666666664</v>
      </c>
      <c r="N7" s="78">
        <f t="shared" si="0"/>
        <v>60916.666666666664</v>
      </c>
      <c r="O7" s="78">
        <f t="shared" si="0"/>
        <v>60916.666666666664</v>
      </c>
      <c r="P7" s="78">
        <f t="shared" si="0"/>
        <v>60916.666666666664</v>
      </c>
      <c r="Q7" s="78">
        <f t="shared" si="0"/>
        <v>60916.666666666664</v>
      </c>
      <c r="R7" s="115">
        <f>SUM(S7:AD7)</f>
        <v>671898</v>
      </c>
      <c r="S7" s="78">
        <f t="shared" ref="S7:X7" si="1">SUM(S8:S14)</f>
        <v>30659</v>
      </c>
      <c r="T7" s="78">
        <f t="shared" si="1"/>
        <v>82759</v>
      </c>
      <c r="U7" s="78">
        <f t="shared" si="1"/>
        <v>91836</v>
      </c>
      <c r="V7" s="78">
        <f t="shared" si="1"/>
        <v>54550</v>
      </c>
      <c r="W7" s="78">
        <f t="shared" si="1"/>
        <v>89866</v>
      </c>
      <c r="X7" s="78">
        <f t="shared" si="1"/>
        <v>111819</v>
      </c>
      <c r="Y7" s="78">
        <f t="shared" ref="Y7:AD7" si="2">SUM(Y8:Y14)</f>
        <v>55874</v>
      </c>
      <c r="Z7" s="78">
        <f t="shared" ref="Z7" si="3">SUM(Z8:Z14)</f>
        <v>85635</v>
      </c>
      <c r="AA7" s="78">
        <f t="shared" si="2"/>
        <v>59943</v>
      </c>
      <c r="AB7" s="78">
        <f t="shared" si="2"/>
        <v>8957</v>
      </c>
      <c r="AC7" s="78">
        <f t="shared" si="2"/>
        <v>0</v>
      </c>
      <c r="AD7" s="78">
        <f t="shared" si="2"/>
        <v>0</v>
      </c>
      <c r="AE7" s="115">
        <f>E7-R7</f>
        <v>59101.999999999884</v>
      </c>
      <c r="AF7" s="78">
        <f t="shared" ref="AF7:AQ7" si="4">F7-S7</f>
        <v>30257.666666666664</v>
      </c>
      <c r="AG7" s="78">
        <f t="shared" si="4"/>
        <v>-21842.333333333336</v>
      </c>
      <c r="AH7" s="78">
        <f t="shared" si="4"/>
        <v>-30919.333333333336</v>
      </c>
      <c r="AI7" s="78">
        <f t="shared" si="4"/>
        <v>6366.6666666666642</v>
      </c>
      <c r="AJ7" s="78">
        <f t="shared" si="4"/>
        <v>-28949.333333333336</v>
      </c>
      <c r="AK7" s="78">
        <f t="shared" si="4"/>
        <v>-50902.333333333336</v>
      </c>
      <c r="AL7" s="78">
        <f t="shared" si="4"/>
        <v>5042.6666666666642</v>
      </c>
      <c r="AM7" s="78">
        <f t="shared" si="4"/>
        <v>-24718.333333333336</v>
      </c>
      <c r="AN7" s="78">
        <f t="shared" si="4"/>
        <v>973.66666666666424</v>
      </c>
      <c r="AO7" s="78">
        <f t="shared" si="4"/>
        <v>51959.666666666664</v>
      </c>
      <c r="AP7" s="78">
        <f t="shared" si="4"/>
        <v>60916.666666666664</v>
      </c>
      <c r="AQ7" s="78">
        <f t="shared" si="4"/>
        <v>60916.666666666664</v>
      </c>
      <c r="AS7" s="54"/>
    </row>
    <row r="8" spans="2:45" x14ac:dyDescent="0.35">
      <c r="B8" s="18" t="s">
        <v>8</v>
      </c>
      <c r="C8"/>
      <c r="D8"/>
      <c r="E8" s="116">
        <f t="shared" ref="E8:E70" si="5">SUM(F8:Q8)</f>
        <v>64999.999999999993</v>
      </c>
      <c r="F8" s="77">
        <v>5416.666666666667</v>
      </c>
      <c r="G8" s="77">
        <v>5416.666666666667</v>
      </c>
      <c r="H8" s="77">
        <v>5416.666666666667</v>
      </c>
      <c r="I8" s="77">
        <v>5416.666666666667</v>
      </c>
      <c r="J8" s="77">
        <v>5416.666666666667</v>
      </c>
      <c r="K8" s="77">
        <v>5416.666666666667</v>
      </c>
      <c r="L8" s="77">
        <v>5416.666666666667</v>
      </c>
      <c r="M8" s="77">
        <v>5416.666666666667</v>
      </c>
      <c r="N8" s="77">
        <v>5416.666666666667</v>
      </c>
      <c r="O8" s="77">
        <v>5416.666666666667</v>
      </c>
      <c r="P8" s="77">
        <v>5416.666666666667</v>
      </c>
      <c r="Q8" s="77">
        <v>5416.666666666667</v>
      </c>
      <c r="R8" s="116">
        <f t="shared" ref="R8:R70" si="6">SUM(S8:AD8)</f>
        <v>43404</v>
      </c>
      <c r="S8" s="77">
        <f t="shared" ref="S8:AD14" si="7">IFERROR(SUMIFS(Skutecnost,Skupina,$B8,Rok,S$4,Mesic,S$5),0)</f>
        <v>3250</v>
      </c>
      <c r="T8" s="77">
        <f t="shared" si="7"/>
        <v>0</v>
      </c>
      <c r="U8" s="77">
        <f t="shared" si="7"/>
        <v>8644</v>
      </c>
      <c r="V8" s="77">
        <f t="shared" si="7"/>
        <v>3917</v>
      </c>
      <c r="W8" s="77">
        <f t="shared" si="7"/>
        <v>206</v>
      </c>
      <c r="X8" s="77">
        <f t="shared" si="7"/>
        <v>5224</v>
      </c>
      <c r="Y8" s="77">
        <f t="shared" si="7"/>
        <v>12298</v>
      </c>
      <c r="Z8" s="77">
        <f t="shared" si="7"/>
        <v>2505</v>
      </c>
      <c r="AA8" s="77">
        <f t="shared" si="7"/>
        <v>7360</v>
      </c>
      <c r="AB8" s="77">
        <f t="shared" si="7"/>
        <v>0</v>
      </c>
      <c r="AC8" s="77">
        <f t="shared" si="7"/>
        <v>0</v>
      </c>
      <c r="AD8" s="77">
        <f t="shared" si="7"/>
        <v>0</v>
      </c>
      <c r="AE8" s="116">
        <f t="shared" ref="AE8:AE71" si="8">E8-R8</f>
        <v>21595.999999999993</v>
      </c>
      <c r="AF8" s="77">
        <f t="shared" ref="AF8:AF71" si="9">F8-S8</f>
        <v>2166.666666666667</v>
      </c>
      <c r="AG8" s="77">
        <f t="shared" ref="AG8:AG71" si="10">G8-T8</f>
        <v>5416.666666666667</v>
      </c>
      <c r="AH8" s="77">
        <f t="shared" ref="AH8:AH71" si="11">H8-U8</f>
        <v>-3227.333333333333</v>
      </c>
      <c r="AI8" s="77">
        <f t="shared" ref="AI8:AI71" si="12">I8-V8</f>
        <v>1499.666666666667</v>
      </c>
      <c r="AJ8" s="77">
        <f t="shared" ref="AJ8:AJ71" si="13">J8-W8</f>
        <v>5210.666666666667</v>
      </c>
      <c r="AK8" s="77">
        <f t="shared" ref="AK8:AK71" si="14">K8-X8</f>
        <v>192.66666666666697</v>
      </c>
      <c r="AL8" s="77">
        <f t="shared" ref="AL8:AL71" si="15">L8-Y8</f>
        <v>-6881.333333333333</v>
      </c>
      <c r="AM8" s="77">
        <f t="shared" ref="AM8:AM71" si="16">M8-Z8</f>
        <v>2911.666666666667</v>
      </c>
      <c r="AN8" s="77">
        <f t="shared" ref="AN8:AN71" si="17">N8-AA8</f>
        <v>-1943.333333333333</v>
      </c>
      <c r="AO8" s="77">
        <f t="shared" ref="AO8:AO71" si="18">O8-AB8</f>
        <v>5416.666666666667</v>
      </c>
      <c r="AP8" s="77">
        <f t="shared" ref="AP8:AP71" si="19">P8-AC8</f>
        <v>5416.666666666667</v>
      </c>
      <c r="AQ8" s="77">
        <f t="shared" ref="AQ8:AQ71" si="20">Q8-AD8</f>
        <v>5416.666666666667</v>
      </c>
      <c r="AS8" s="97"/>
    </row>
    <row r="9" spans="2:45" x14ac:dyDescent="0.35">
      <c r="B9" s="18" t="s">
        <v>52</v>
      </c>
      <c r="C9"/>
      <c r="D9"/>
      <c r="E9" s="116">
        <f t="shared" si="5"/>
        <v>15000</v>
      </c>
      <c r="F9" s="77">
        <v>1250</v>
      </c>
      <c r="G9" s="77">
        <v>1250</v>
      </c>
      <c r="H9" s="77">
        <v>1250</v>
      </c>
      <c r="I9" s="77">
        <v>1250</v>
      </c>
      <c r="J9" s="77">
        <v>1250</v>
      </c>
      <c r="K9" s="77">
        <v>1250</v>
      </c>
      <c r="L9" s="77">
        <v>1250</v>
      </c>
      <c r="M9" s="77">
        <v>1250</v>
      </c>
      <c r="N9" s="77">
        <v>1250</v>
      </c>
      <c r="O9" s="77">
        <v>1250</v>
      </c>
      <c r="P9" s="77">
        <v>1250</v>
      </c>
      <c r="Q9" s="77">
        <v>1250</v>
      </c>
      <c r="R9" s="116">
        <f t="shared" si="6"/>
        <v>16280</v>
      </c>
      <c r="S9" s="77">
        <f t="shared" si="7"/>
        <v>0</v>
      </c>
      <c r="T9" s="77">
        <f t="shared" si="7"/>
        <v>0</v>
      </c>
      <c r="U9" s="77">
        <f t="shared" si="7"/>
        <v>3488</v>
      </c>
      <c r="V9" s="77">
        <f t="shared" si="7"/>
        <v>0</v>
      </c>
      <c r="W9" s="77">
        <f t="shared" si="7"/>
        <v>8508</v>
      </c>
      <c r="X9" s="77">
        <f t="shared" si="7"/>
        <v>0</v>
      </c>
      <c r="Y9" s="77">
        <f t="shared" si="7"/>
        <v>0</v>
      </c>
      <c r="Z9" s="77">
        <f t="shared" si="7"/>
        <v>2371</v>
      </c>
      <c r="AA9" s="77">
        <f t="shared" si="7"/>
        <v>1913</v>
      </c>
      <c r="AB9" s="77">
        <f t="shared" si="7"/>
        <v>0</v>
      </c>
      <c r="AC9" s="77">
        <f t="shared" si="7"/>
        <v>0</v>
      </c>
      <c r="AD9" s="77">
        <f t="shared" si="7"/>
        <v>0</v>
      </c>
      <c r="AE9" s="116">
        <f t="shared" si="8"/>
        <v>-1280</v>
      </c>
      <c r="AF9" s="77">
        <f t="shared" si="9"/>
        <v>1250</v>
      </c>
      <c r="AG9" s="77">
        <f t="shared" si="10"/>
        <v>1250</v>
      </c>
      <c r="AH9" s="77">
        <f t="shared" si="11"/>
        <v>-2238</v>
      </c>
      <c r="AI9" s="77">
        <f t="shared" si="12"/>
        <v>1250</v>
      </c>
      <c r="AJ9" s="77">
        <f t="shared" si="13"/>
        <v>-7258</v>
      </c>
      <c r="AK9" s="77">
        <f t="shared" si="14"/>
        <v>1250</v>
      </c>
      <c r="AL9" s="77">
        <f t="shared" si="15"/>
        <v>1250</v>
      </c>
      <c r="AM9" s="77">
        <f t="shared" si="16"/>
        <v>-1121</v>
      </c>
      <c r="AN9" s="77">
        <f t="shared" si="17"/>
        <v>-663</v>
      </c>
      <c r="AO9" s="77">
        <f t="shared" si="18"/>
        <v>1250</v>
      </c>
      <c r="AP9" s="77">
        <f t="shared" si="19"/>
        <v>1250</v>
      </c>
      <c r="AQ9" s="77">
        <f t="shared" si="20"/>
        <v>1250</v>
      </c>
      <c r="AS9" s="17"/>
    </row>
    <row r="10" spans="2:45" x14ac:dyDescent="0.35">
      <c r="B10" s="18" t="s">
        <v>22</v>
      </c>
      <c r="C10"/>
      <c r="D10"/>
      <c r="E10" s="116">
        <f t="shared" si="5"/>
        <v>60000</v>
      </c>
      <c r="F10" s="77">
        <v>5000</v>
      </c>
      <c r="G10" s="77">
        <v>5000</v>
      </c>
      <c r="H10" s="77">
        <v>5000</v>
      </c>
      <c r="I10" s="77">
        <v>5000</v>
      </c>
      <c r="J10" s="77">
        <v>5000</v>
      </c>
      <c r="K10" s="77">
        <v>5000</v>
      </c>
      <c r="L10" s="77">
        <v>5000</v>
      </c>
      <c r="M10" s="77">
        <v>5000</v>
      </c>
      <c r="N10" s="77">
        <v>5000</v>
      </c>
      <c r="O10" s="77">
        <v>5000</v>
      </c>
      <c r="P10" s="77">
        <v>5000</v>
      </c>
      <c r="Q10" s="77">
        <v>5000</v>
      </c>
      <c r="R10" s="116">
        <f t="shared" si="6"/>
        <v>49647</v>
      </c>
      <c r="S10" s="77">
        <f t="shared" si="7"/>
        <v>1615</v>
      </c>
      <c r="T10" s="77">
        <f t="shared" si="7"/>
        <v>4733</v>
      </c>
      <c r="U10" s="77">
        <f t="shared" si="7"/>
        <v>5541</v>
      </c>
      <c r="V10" s="77">
        <f t="shared" si="7"/>
        <v>8155</v>
      </c>
      <c r="W10" s="77">
        <f t="shared" si="7"/>
        <v>1684</v>
      </c>
      <c r="X10" s="77">
        <f t="shared" si="7"/>
        <v>15859</v>
      </c>
      <c r="Y10" s="77">
        <f t="shared" si="7"/>
        <v>4425</v>
      </c>
      <c r="Z10" s="77">
        <f t="shared" si="7"/>
        <v>0</v>
      </c>
      <c r="AA10" s="77">
        <f t="shared" si="7"/>
        <v>7635</v>
      </c>
      <c r="AB10" s="77">
        <f t="shared" si="7"/>
        <v>0</v>
      </c>
      <c r="AC10" s="77">
        <f t="shared" si="7"/>
        <v>0</v>
      </c>
      <c r="AD10" s="77">
        <f t="shared" si="7"/>
        <v>0</v>
      </c>
      <c r="AE10" s="116">
        <f t="shared" si="8"/>
        <v>10353</v>
      </c>
      <c r="AF10" s="77">
        <f t="shared" si="9"/>
        <v>3385</v>
      </c>
      <c r="AG10" s="77">
        <f t="shared" si="10"/>
        <v>267</v>
      </c>
      <c r="AH10" s="77">
        <f t="shared" si="11"/>
        <v>-541</v>
      </c>
      <c r="AI10" s="77">
        <f t="shared" si="12"/>
        <v>-3155</v>
      </c>
      <c r="AJ10" s="77">
        <f t="shared" si="13"/>
        <v>3316</v>
      </c>
      <c r="AK10" s="77">
        <f t="shared" si="14"/>
        <v>-10859</v>
      </c>
      <c r="AL10" s="77">
        <f t="shared" si="15"/>
        <v>575</v>
      </c>
      <c r="AM10" s="77">
        <f t="shared" si="16"/>
        <v>5000</v>
      </c>
      <c r="AN10" s="77">
        <f t="shared" si="17"/>
        <v>-2635</v>
      </c>
      <c r="AO10" s="77">
        <f t="shared" si="18"/>
        <v>5000</v>
      </c>
      <c r="AP10" s="77">
        <f t="shared" si="19"/>
        <v>5000</v>
      </c>
      <c r="AQ10" s="77">
        <f t="shared" si="20"/>
        <v>5000</v>
      </c>
      <c r="AS10" s="17"/>
    </row>
    <row r="11" spans="2:45" x14ac:dyDescent="0.35">
      <c r="B11" s="18" t="s">
        <v>11</v>
      </c>
      <c r="C11"/>
      <c r="D11"/>
      <c r="E11" s="116">
        <f t="shared" si="5"/>
        <v>280000.00000000006</v>
      </c>
      <c r="F11" s="77">
        <v>23333.333333333332</v>
      </c>
      <c r="G11" s="77">
        <v>23333.333333333332</v>
      </c>
      <c r="H11" s="77">
        <v>23333.333333333332</v>
      </c>
      <c r="I11" s="77">
        <v>23333.333333333332</v>
      </c>
      <c r="J11" s="77">
        <v>23333.333333333332</v>
      </c>
      <c r="K11" s="77">
        <v>23333.333333333332</v>
      </c>
      <c r="L11" s="77">
        <v>23333.333333333332</v>
      </c>
      <c r="M11" s="77">
        <v>23333.333333333332</v>
      </c>
      <c r="N11" s="77">
        <v>23333.333333333332</v>
      </c>
      <c r="O11" s="77">
        <v>23333.333333333332</v>
      </c>
      <c r="P11" s="77">
        <v>23333.333333333332</v>
      </c>
      <c r="Q11" s="77">
        <v>23333.333333333332</v>
      </c>
      <c r="R11" s="116">
        <f t="shared" si="6"/>
        <v>127383</v>
      </c>
      <c r="S11" s="77">
        <f t="shared" si="7"/>
        <v>10310</v>
      </c>
      <c r="T11" s="77">
        <f t="shared" si="7"/>
        <v>20954</v>
      </c>
      <c r="U11" s="77">
        <f t="shared" si="7"/>
        <v>3203</v>
      </c>
      <c r="V11" s="77">
        <f t="shared" si="7"/>
        <v>14277</v>
      </c>
      <c r="W11" s="77">
        <f t="shared" si="7"/>
        <v>23907</v>
      </c>
      <c r="X11" s="77">
        <f t="shared" si="7"/>
        <v>9147</v>
      </c>
      <c r="Y11" s="77">
        <f t="shared" si="7"/>
        <v>13246</v>
      </c>
      <c r="Z11" s="77">
        <f t="shared" si="7"/>
        <v>16483</v>
      </c>
      <c r="AA11" s="77">
        <f t="shared" si="7"/>
        <v>7096</v>
      </c>
      <c r="AB11" s="77">
        <f t="shared" si="7"/>
        <v>8760</v>
      </c>
      <c r="AC11" s="77">
        <f t="shared" si="7"/>
        <v>0</v>
      </c>
      <c r="AD11" s="77">
        <f t="shared" si="7"/>
        <v>0</v>
      </c>
      <c r="AE11" s="116">
        <f t="shared" si="8"/>
        <v>152617.00000000006</v>
      </c>
      <c r="AF11" s="77">
        <f t="shared" si="9"/>
        <v>13023.333333333332</v>
      </c>
      <c r="AG11" s="77">
        <f t="shared" si="10"/>
        <v>2379.3333333333321</v>
      </c>
      <c r="AH11" s="77">
        <f t="shared" si="11"/>
        <v>20130.333333333332</v>
      </c>
      <c r="AI11" s="77">
        <f t="shared" si="12"/>
        <v>9056.3333333333321</v>
      </c>
      <c r="AJ11" s="77">
        <f t="shared" si="13"/>
        <v>-573.66666666666788</v>
      </c>
      <c r="AK11" s="77">
        <f t="shared" si="14"/>
        <v>14186.333333333332</v>
      </c>
      <c r="AL11" s="77">
        <f t="shared" si="15"/>
        <v>10087.333333333332</v>
      </c>
      <c r="AM11" s="77">
        <f t="shared" si="16"/>
        <v>6850.3333333333321</v>
      </c>
      <c r="AN11" s="77">
        <f t="shared" si="17"/>
        <v>16237.333333333332</v>
      </c>
      <c r="AO11" s="77">
        <f t="shared" si="18"/>
        <v>14573.333333333332</v>
      </c>
      <c r="AP11" s="77">
        <f t="shared" si="19"/>
        <v>23333.333333333332</v>
      </c>
      <c r="AQ11" s="77">
        <f t="shared" si="20"/>
        <v>23333.333333333332</v>
      </c>
      <c r="AS11" s="17"/>
    </row>
    <row r="12" spans="2:45" x14ac:dyDescent="0.35">
      <c r="B12" s="18" t="s">
        <v>19</v>
      </c>
      <c r="C12"/>
      <c r="D12"/>
      <c r="E12" s="116">
        <f t="shared" si="5"/>
        <v>10999.999999999998</v>
      </c>
      <c r="F12" s="77">
        <v>916.66666666666663</v>
      </c>
      <c r="G12" s="77">
        <v>916.66666666666663</v>
      </c>
      <c r="H12" s="77">
        <v>916.66666666666663</v>
      </c>
      <c r="I12" s="77">
        <v>916.66666666666663</v>
      </c>
      <c r="J12" s="77">
        <v>916.66666666666663</v>
      </c>
      <c r="K12" s="77">
        <v>916.66666666666663</v>
      </c>
      <c r="L12" s="77">
        <v>916.66666666666663</v>
      </c>
      <c r="M12" s="77">
        <v>916.66666666666663</v>
      </c>
      <c r="N12" s="77">
        <v>916.66666666666663</v>
      </c>
      <c r="O12" s="77">
        <v>916.66666666666663</v>
      </c>
      <c r="P12" s="77">
        <v>916.66666666666663</v>
      </c>
      <c r="Q12" s="77">
        <v>916.66666666666663</v>
      </c>
      <c r="R12" s="116">
        <f t="shared" si="6"/>
        <v>7722</v>
      </c>
      <c r="S12" s="77">
        <f t="shared" si="7"/>
        <v>766</v>
      </c>
      <c r="T12" s="77">
        <f t="shared" si="7"/>
        <v>4489</v>
      </c>
      <c r="U12" s="77">
        <f t="shared" si="7"/>
        <v>0</v>
      </c>
      <c r="V12" s="77">
        <f t="shared" si="7"/>
        <v>0</v>
      </c>
      <c r="W12" s="77">
        <f t="shared" si="7"/>
        <v>0</v>
      </c>
      <c r="X12" s="77">
        <f t="shared" si="7"/>
        <v>0</v>
      </c>
      <c r="Y12" s="77">
        <f t="shared" si="7"/>
        <v>1931</v>
      </c>
      <c r="Z12" s="77">
        <f t="shared" si="7"/>
        <v>0</v>
      </c>
      <c r="AA12" s="77">
        <f t="shared" si="7"/>
        <v>536</v>
      </c>
      <c r="AB12" s="77">
        <f t="shared" si="7"/>
        <v>0</v>
      </c>
      <c r="AC12" s="77">
        <f t="shared" si="7"/>
        <v>0</v>
      </c>
      <c r="AD12" s="77">
        <f t="shared" si="7"/>
        <v>0</v>
      </c>
      <c r="AE12" s="116">
        <f t="shared" si="8"/>
        <v>3277.9999999999982</v>
      </c>
      <c r="AF12" s="77">
        <f t="shared" si="9"/>
        <v>150.66666666666663</v>
      </c>
      <c r="AG12" s="77">
        <f t="shared" si="10"/>
        <v>-3572.3333333333335</v>
      </c>
      <c r="AH12" s="77">
        <f t="shared" si="11"/>
        <v>916.66666666666663</v>
      </c>
      <c r="AI12" s="77">
        <f t="shared" si="12"/>
        <v>916.66666666666663</v>
      </c>
      <c r="AJ12" s="77">
        <f t="shared" si="13"/>
        <v>916.66666666666663</v>
      </c>
      <c r="AK12" s="77">
        <f t="shared" si="14"/>
        <v>916.66666666666663</v>
      </c>
      <c r="AL12" s="77">
        <f t="shared" si="15"/>
        <v>-1014.3333333333334</v>
      </c>
      <c r="AM12" s="77">
        <f t="shared" si="16"/>
        <v>916.66666666666663</v>
      </c>
      <c r="AN12" s="77">
        <f t="shared" si="17"/>
        <v>380.66666666666663</v>
      </c>
      <c r="AO12" s="77">
        <f t="shared" si="18"/>
        <v>916.66666666666663</v>
      </c>
      <c r="AP12" s="77">
        <f t="shared" si="19"/>
        <v>916.66666666666663</v>
      </c>
      <c r="AQ12" s="77">
        <f t="shared" si="20"/>
        <v>916.66666666666663</v>
      </c>
      <c r="AS12" s="17"/>
    </row>
    <row r="13" spans="2:45" x14ac:dyDescent="0.35">
      <c r="B13" s="18" t="s">
        <v>41</v>
      </c>
      <c r="C13"/>
      <c r="D13"/>
      <c r="E13" s="116">
        <f t="shared" si="5"/>
        <v>250000.00000000003</v>
      </c>
      <c r="F13" s="77">
        <v>20833.333333333332</v>
      </c>
      <c r="G13" s="77">
        <v>20833.333333333332</v>
      </c>
      <c r="H13" s="77">
        <v>20833.333333333332</v>
      </c>
      <c r="I13" s="77">
        <v>20833.333333333332</v>
      </c>
      <c r="J13" s="77">
        <v>20833.333333333332</v>
      </c>
      <c r="K13" s="77">
        <v>20833.333333333332</v>
      </c>
      <c r="L13" s="77">
        <v>20833.333333333332</v>
      </c>
      <c r="M13" s="77">
        <v>20833.333333333332</v>
      </c>
      <c r="N13" s="77">
        <v>20833.333333333332</v>
      </c>
      <c r="O13" s="77">
        <v>20833.333333333332</v>
      </c>
      <c r="P13" s="77">
        <v>20833.333333333332</v>
      </c>
      <c r="Q13" s="77">
        <v>20833.333333333332</v>
      </c>
      <c r="R13" s="116">
        <f t="shared" si="6"/>
        <v>154012</v>
      </c>
      <c r="S13" s="77">
        <f t="shared" si="7"/>
        <v>0</v>
      </c>
      <c r="T13" s="77">
        <f t="shared" si="7"/>
        <v>15759</v>
      </c>
      <c r="U13" s="77">
        <f t="shared" si="7"/>
        <v>25510</v>
      </c>
      <c r="V13" s="77">
        <f t="shared" si="7"/>
        <v>9983</v>
      </c>
      <c r="W13" s="77">
        <f t="shared" si="7"/>
        <v>34048</v>
      </c>
      <c r="X13" s="77">
        <f t="shared" si="7"/>
        <v>44074</v>
      </c>
      <c r="Y13" s="77">
        <f t="shared" si="7"/>
        <v>0</v>
      </c>
      <c r="Z13" s="77">
        <f t="shared" si="7"/>
        <v>13300</v>
      </c>
      <c r="AA13" s="77">
        <f t="shared" si="7"/>
        <v>11338</v>
      </c>
      <c r="AB13" s="77">
        <f t="shared" si="7"/>
        <v>0</v>
      </c>
      <c r="AC13" s="77">
        <f t="shared" si="7"/>
        <v>0</v>
      </c>
      <c r="AD13" s="77">
        <f t="shared" si="7"/>
        <v>0</v>
      </c>
      <c r="AE13" s="116">
        <f t="shared" si="8"/>
        <v>95988.000000000029</v>
      </c>
      <c r="AF13" s="77">
        <f t="shared" si="9"/>
        <v>20833.333333333332</v>
      </c>
      <c r="AG13" s="77">
        <f t="shared" si="10"/>
        <v>5074.3333333333321</v>
      </c>
      <c r="AH13" s="77">
        <f t="shared" si="11"/>
        <v>-4676.6666666666679</v>
      </c>
      <c r="AI13" s="77">
        <f t="shared" si="12"/>
        <v>10850.333333333332</v>
      </c>
      <c r="AJ13" s="77">
        <f t="shared" si="13"/>
        <v>-13214.666666666668</v>
      </c>
      <c r="AK13" s="77">
        <f t="shared" si="14"/>
        <v>-23240.666666666668</v>
      </c>
      <c r="AL13" s="77">
        <f t="shared" si="15"/>
        <v>20833.333333333332</v>
      </c>
      <c r="AM13" s="77">
        <f t="shared" si="16"/>
        <v>7533.3333333333321</v>
      </c>
      <c r="AN13" s="77">
        <f t="shared" si="17"/>
        <v>9495.3333333333321</v>
      </c>
      <c r="AO13" s="77">
        <f t="shared" si="18"/>
        <v>20833.333333333332</v>
      </c>
      <c r="AP13" s="77">
        <f t="shared" si="19"/>
        <v>20833.333333333332</v>
      </c>
      <c r="AQ13" s="77">
        <f t="shared" si="20"/>
        <v>20833.333333333332</v>
      </c>
      <c r="AS13" s="17"/>
    </row>
    <row r="14" spans="2:45" x14ac:dyDescent="0.35">
      <c r="B14" s="18" t="s">
        <v>23</v>
      </c>
      <c r="C14"/>
      <c r="D14"/>
      <c r="E14" s="116">
        <f t="shared" si="5"/>
        <v>49999.999999999993</v>
      </c>
      <c r="F14" s="77">
        <v>4166.666666666667</v>
      </c>
      <c r="G14" s="77">
        <v>4166.666666666667</v>
      </c>
      <c r="H14" s="77">
        <v>4166.666666666667</v>
      </c>
      <c r="I14" s="77">
        <v>4166.666666666667</v>
      </c>
      <c r="J14" s="77">
        <v>4166.666666666667</v>
      </c>
      <c r="K14" s="77">
        <v>4166.666666666667</v>
      </c>
      <c r="L14" s="77">
        <v>4166.666666666667</v>
      </c>
      <c r="M14" s="77">
        <v>4166.666666666667</v>
      </c>
      <c r="N14" s="77">
        <v>4166.666666666667</v>
      </c>
      <c r="O14" s="77">
        <v>4166.666666666667</v>
      </c>
      <c r="P14" s="77">
        <v>4166.666666666667</v>
      </c>
      <c r="Q14" s="77">
        <v>4166.666666666667</v>
      </c>
      <c r="R14" s="116">
        <f t="shared" si="6"/>
        <v>273450</v>
      </c>
      <c r="S14" s="77">
        <f t="shared" si="7"/>
        <v>14718</v>
      </c>
      <c r="T14" s="77">
        <f t="shared" si="7"/>
        <v>36824</v>
      </c>
      <c r="U14" s="77">
        <f t="shared" si="7"/>
        <v>45450</v>
      </c>
      <c r="V14" s="77">
        <f t="shared" si="7"/>
        <v>18218</v>
      </c>
      <c r="W14" s="77">
        <f t="shared" si="7"/>
        <v>21513</v>
      </c>
      <c r="X14" s="77">
        <f t="shared" si="7"/>
        <v>37515</v>
      </c>
      <c r="Y14" s="77">
        <f t="shared" si="7"/>
        <v>23974</v>
      </c>
      <c r="Z14" s="77">
        <f t="shared" si="7"/>
        <v>50976</v>
      </c>
      <c r="AA14" s="77">
        <f t="shared" si="7"/>
        <v>24065</v>
      </c>
      <c r="AB14" s="77">
        <f t="shared" si="7"/>
        <v>197</v>
      </c>
      <c r="AC14" s="77">
        <f t="shared" si="7"/>
        <v>0</v>
      </c>
      <c r="AD14" s="77">
        <f t="shared" si="7"/>
        <v>0</v>
      </c>
      <c r="AE14" s="116">
        <f t="shared" si="8"/>
        <v>-223450</v>
      </c>
      <c r="AF14" s="77">
        <f t="shared" si="9"/>
        <v>-10551.333333333332</v>
      </c>
      <c r="AG14" s="77">
        <f t="shared" si="10"/>
        <v>-32657.333333333332</v>
      </c>
      <c r="AH14" s="77">
        <f t="shared" si="11"/>
        <v>-41283.333333333336</v>
      </c>
      <c r="AI14" s="77">
        <f t="shared" si="12"/>
        <v>-14051.333333333332</v>
      </c>
      <c r="AJ14" s="77">
        <f t="shared" si="13"/>
        <v>-17346.333333333332</v>
      </c>
      <c r="AK14" s="77">
        <f t="shared" si="14"/>
        <v>-33348.333333333336</v>
      </c>
      <c r="AL14" s="77">
        <f t="shared" si="15"/>
        <v>-19807.333333333332</v>
      </c>
      <c r="AM14" s="77">
        <f t="shared" si="16"/>
        <v>-46809.333333333336</v>
      </c>
      <c r="AN14" s="77">
        <f t="shared" si="17"/>
        <v>-19898.333333333332</v>
      </c>
      <c r="AO14" s="77">
        <f t="shared" si="18"/>
        <v>3969.666666666667</v>
      </c>
      <c r="AP14" s="77">
        <f t="shared" si="19"/>
        <v>4166.666666666667</v>
      </c>
      <c r="AQ14" s="77">
        <f t="shared" si="20"/>
        <v>4166.666666666667</v>
      </c>
      <c r="AS14" s="17"/>
    </row>
    <row r="15" spans="2:45" x14ac:dyDescent="0.35">
      <c r="B15" s="55" t="s">
        <v>53</v>
      </c>
      <c r="C15" s="76"/>
      <c r="D15" s="76"/>
      <c r="E15" s="115">
        <f t="shared" si="5"/>
        <v>228000.00000000003</v>
      </c>
      <c r="F15" s="78">
        <f>SUM(F16:F18)</f>
        <v>19000.000000000004</v>
      </c>
      <c r="G15" s="78">
        <f t="shared" ref="G15:Q15" si="21">SUM(G16:G18)</f>
        <v>19000.000000000004</v>
      </c>
      <c r="H15" s="78">
        <f t="shared" si="21"/>
        <v>19000.000000000004</v>
      </c>
      <c r="I15" s="78">
        <f t="shared" si="21"/>
        <v>19000.000000000004</v>
      </c>
      <c r="J15" s="78">
        <f t="shared" si="21"/>
        <v>19000.000000000004</v>
      </c>
      <c r="K15" s="78">
        <f t="shared" si="21"/>
        <v>19000.000000000004</v>
      </c>
      <c r="L15" s="78">
        <f t="shared" si="21"/>
        <v>19000.000000000004</v>
      </c>
      <c r="M15" s="78">
        <f t="shared" si="21"/>
        <v>19000.000000000004</v>
      </c>
      <c r="N15" s="78">
        <f t="shared" si="21"/>
        <v>19000.000000000004</v>
      </c>
      <c r="O15" s="78">
        <f t="shared" si="21"/>
        <v>19000.000000000004</v>
      </c>
      <c r="P15" s="78">
        <f t="shared" si="21"/>
        <v>19000.000000000004</v>
      </c>
      <c r="Q15" s="78">
        <f t="shared" si="21"/>
        <v>19000.000000000004</v>
      </c>
      <c r="R15" s="115">
        <f>SUM(S15:AD15)</f>
        <v>116625.40000000001</v>
      </c>
      <c r="S15" s="78">
        <f t="shared" ref="S15:X15" si="22">SUM(S16:S18)</f>
        <v>7444.4000000000005</v>
      </c>
      <c r="T15" s="78">
        <f t="shared" si="22"/>
        <v>6973</v>
      </c>
      <c r="U15" s="78">
        <f t="shared" si="22"/>
        <v>23281.4</v>
      </c>
      <c r="V15" s="78">
        <f t="shared" si="22"/>
        <v>7238.8</v>
      </c>
      <c r="W15" s="78">
        <f t="shared" si="22"/>
        <v>0</v>
      </c>
      <c r="X15" s="78">
        <f t="shared" si="22"/>
        <v>30580</v>
      </c>
      <c r="Y15" s="78">
        <f t="shared" ref="Y15:AD15" si="23">SUM(Y16:Y18)</f>
        <v>0</v>
      </c>
      <c r="Z15" s="78">
        <f t="shared" ref="Z15" si="24">SUM(Z16:Z18)</f>
        <v>27382</v>
      </c>
      <c r="AA15" s="78">
        <f t="shared" si="23"/>
        <v>13725.800000000001</v>
      </c>
      <c r="AB15" s="78">
        <f t="shared" si="23"/>
        <v>0</v>
      </c>
      <c r="AC15" s="78">
        <f t="shared" si="23"/>
        <v>0</v>
      </c>
      <c r="AD15" s="78">
        <f t="shared" si="23"/>
        <v>0</v>
      </c>
      <c r="AE15" s="115">
        <f t="shared" si="8"/>
        <v>111374.60000000002</v>
      </c>
      <c r="AF15" s="78">
        <f t="shared" si="9"/>
        <v>11555.600000000002</v>
      </c>
      <c r="AG15" s="78">
        <f t="shared" si="10"/>
        <v>12027.000000000004</v>
      </c>
      <c r="AH15" s="78">
        <f t="shared" si="11"/>
        <v>-4281.3999999999978</v>
      </c>
      <c r="AI15" s="78">
        <f t="shared" si="12"/>
        <v>11761.200000000004</v>
      </c>
      <c r="AJ15" s="78">
        <f t="shared" si="13"/>
        <v>19000.000000000004</v>
      </c>
      <c r="AK15" s="78">
        <f t="shared" si="14"/>
        <v>-11579.999999999996</v>
      </c>
      <c r="AL15" s="78">
        <f t="shared" si="15"/>
        <v>19000.000000000004</v>
      </c>
      <c r="AM15" s="78">
        <f t="shared" si="16"/>
        <v>-8381.9999999999964</v>
      </c>
      <c r="AN15" s="78">
        <f t="shared" si="17"/>
        <v>5274.2000000000025</v>
      </c>
      <c r="AO15" s="78">
        <f t="shared" si="18"/>
        <v>19000.000000000004</v>
      </c>
      <c r="AP15" s="78">
        <f t="shared" si="19"/>
        <v>19000.000000000004</v>
      </c>
      <c r="AQ15" s="78">
        <f t="shared" si="20"/>
        <v>19000.000000000004</v>
      </c>
      <c r="AS15" s="54"/>
    </row>
    <row r="16" spans="2:45" x14ac:dyDescent="0.35">
      <c r="B16" s="18" t="s">
        <v>7</v>
      </c>
      <c r="C16"/>
      <c r="D16"/>
      <c r="E16" s="116">
        <f t="shared" si="5"/>
        <v>129999.99999999999</v>
      </c>
      <c r="F16" s="77">
        <v>10833.333333333334</v>
      </c>
      <c r="G16" s="77">
        <v>10833.333333333334</v>
      </c>
      <c r="H16" s="77">
        <v>10833.333333333334</v>
      </c>
      <c r="I16" s="77">
        <v>10833.333333333334</v>
      </c>
      <c r="J16" s="77">
        <v>10833.333333333334</v>
      </c>
      <c r="K16" s="77">
        <v>10833.333333333334</v>
      </c>
      <c r="L16" s="77">
        <v>10833.333333333334</v>
      </c>
      <c r="M16" s="77">
        <v>10833.333333333334</v>
      </c>
      <c r="N16" s="77">
        <v>10833.333333333334</v>
      </c>
      <c r="O16" s="77">
        <v>10833.333333333334</v>
      </c>
      <c r="P16" s="77">
        <v>10833.333333333334</v>
      </c>
      <c r="Q16" s="77">
        <v>10833.333333333334</v>
      </c>
      <c r="R16" s="116">
        <f t="shared" si="6"/>
        <v>72268</v>
      </c>
      <c r="S16" s="77">
        <f t="shared" ref="S16:AD18" si="25">IFERROR(SUMIFS(Skutecnost,Skupina,$B16,Rok,S$4,Mesic,S$5)*0.2,0)</f>
        <v>7444.4000000000005</v>
      </c>
      <c r="T16" s="77">
        <f t="shared" si="25"/>
        <v>6973</v>
      </c>
      <c r="U16" s="77">
        <f t="shared" si="25"/>
        <v>6375.4000000000005</v>
      </c>
      <c r="V16" s="77">
        <f t="shared" si="25"/>
        <v>7238.8</v>
      </c>
      <c r="W16" s="77">
        <f t="shared" si="25"/>
        <v>0</v>
      </c>
      <c r="X16" s="77">
        <f t="shared" si="25"/>
        <v>16854.400000000001</v>
      </c>
      <c r="Y16" s="77">
        <f t="shared" si="25"/>
        <v>0</v>
      </c>
      <c r="Z16" s="77">
        <f t="shared" si="25"/>
        <v>27382</v>
      </c>
      <c r="AA16" s="77">
        <f t="shared" si="25"/>
        <v>0</v>
      </c>
      <c r="AB16" s="77">
        <f t="shared" si="25"/>
        <v>0</v>
      </c>
      <c r="AC16" s="77">
        <f t="shared" si="25"/>
        <v>0</v>
      </c>
      <c r="AD16" s="77">
        <f t="shared" si="25"/>
        <v>0</v>
      </c>
      <c r="AE16" s="116">
        <f t="shared" si="8"/>
        <v>57731.999999999985</v>
      </c>
      <c r="AF16" s="77">
        <f t="shared" si="9"/>
        <v>3388.9333333333334</v>
      </c>
      <c r="AG16" s="77">
        <f t="shared" si="10"/>
        <v>3860.3333333333339</v>
      </c>
      <c r="AH16" s="77">
        <f t="shared" si="11"/>
        <v>4457.9333333333334</v>
      </c>
      <c r="AI16" s="77">
        <f t="shared" si="12"/>
        <v>3594.5333333333338</v>
      </c>
      <c r="AJ16" s="77">
        <f t="shared" si="13"/>
        <v>10833.333333333334</v>
      </c>
      <c r="AK16" s="77">
        <f t="shared" si="14"/>
        <v>-6021.0666666666675</v>
      </c>
      <c r="AL16" s="77">
        <f t="shared" si="15"/>
        <v>10833.333333333334</v>
      </c>
      <c r="AM16" s="77">
        <f t="shared" si="16"/>
        <v>-16548.666666666664</v>
      </c>
      <c r="AN16" s="77">
        <f t="shared" si="17"/>
        <v>10833.333333333334</v>
      </c>
      <c r="AO16" s="77">
        <f t="shared" si="18"/>
        <v>10833.333333333334</v>
      </c>
      <c r="AP16" s="77">
        <f t="shared" si="19"/>
        <v>10833.333333333334</v>
      </c>
      <c r="AQ16" s="77">
        <f t="shared" si="20"/>
        <v>10833.333333333334</v>
      </c>
      <c r="AS16" s="17"/>
    </row>
    <row r="17" spans="2:45" x14ac:dyDescent="0.35">
      <c r="B17" s="18" t="s">
        <v>54</v>
      </c>
      <c r="C17"/>
      <c r="D17"/>
      <c r="E17" s="116">
        <f t="shared" si="5"/>
        <v>72000</v>
      </c>
      <c r="F17" s="77">
        <v>6000</v>
      </c>
      <c r="G17" s="77">
        <v>6000</v>
      </c>
      <c r="H17" s="77">
        <v>6000</v>
      </c>
      <c r="I17" s="77">
        <v>6000</v>
      </c>
      <c r="J17" s="77">
        <v>6000</v>
      </c>
      <c r="K17" s="77">
        <v>6000</v>
      </c>
      <c r="L17" s="77">
        <v>6000</v>
      </c>
      <c r="M17" s="77">
        <v>6000</v>
      </c>
      <c r="N17" s="77">
        <v>6000</v>
      </c>
      <c r="O17" s="77">
        <v>6000</v>
      </c>
      <c r="P17" s="77">
        <v>6000</v>
      </c>
      <c r="Q17" s="77">
        <v>6000</v>
      </c>
      <c r="R17" s="116">
        <f t="shared" si="6"/>
        <v>0</v>
      </c>
      <c r="S17" s="77">
        <f t="shared" si="25"/>
        <v>0</v>
      </c>
      <c r="T17" s="77">
        <f t="shared" si="25"/>
        <v>0</v>
      </c>
      <c r="U17" s="77">
        <f t="shared" si="25"/>
        <v>0</v>
      </c>
      <c r="V17" s="77">
        <f t="shared" si="25"/>
        <v>0</v>
      </c>
      <c r="W17" s="77">
        <f t="shared" si="25"/>
        <v>0</v>
      </c>
      <c r="X17" s="77">
        <f t="shared" si="25"/>
        <v>0</v>
      </c>
      <c r="Y17" s="77">
        <f t="shared" si="25"/>
        <v>0</v>
      </c>
      <c r="Z17" s="77">
        <f t="shared" si="25"/>
        <v>0</v>
      </c>
      <c r="AA17" s="77">
        <f t="shared" si="25"/>
        <v>0</v>
      </c>
      <c r="AB17" s="77">
        <f t="shared" si="25"/>
        <v>0</v>
      </c>
      <c r="AC17" s="77">
        <f t="shared" si="25"/>
        <v>0</v>
      </c>
      <c r="AD17" s="77">
        <f t="shared" si="25"/>
        <v>0</v>
      </c>
      <c r="AE17" s="116">
        <f t="shared" si="8"/>
        <v>72000</v>
      </c>
      <c r="AF17" s="77">
        <f t="shared" si="9"/>
        <v>6000</v>
      </c>
      <c r="AG17" s="77">
        <f t="shared" si="10"/>
        <v>6000</v>
      </c>
      <c r="AH17" s="77">
        <f t="shared" si="11"/>
        <v>6000</v>
      </c>
      <c r="AI17" s="77">
        <f t="shared" si="12"/>
        <v>6000</v>
      </c>
      <c r="AJ17" s="77">
        <f t="shared" si="13"/>
        <v>6000</v>
      </c>
      <c r="AK17" s="77">
        <f t="shared" si="14"/>
        <v>6000</v>
      </c>
      <c r="AL17" s="77">
        <f t="shared" si="15"/>
        <v>6000</v>
      </c>
      <c r="AM17" s="77">
        <f t="shared" si="16"/>
        <v>6000</v>
      </c>
      <c r="AN17" s="77">
        <f t="shared" si="17"/>
        <v>6000</v>
      </c>
      <c r="AO17" s="77">
        <f t="shared" si="18"/>
        <v>6000</v>
      </c>
      <c r="AP17" s="77">
        <f t="shared" si="19"/>
        <v>6000</v>
      </c>
      <c r="AQ17" s="77">
        <f t="shared" si="20"/>
        <v>6000</v>
      </c>
      <c r="AS17" s="17"/>
    </row>
    <row r="18" spans="2:45" x14ac:dyDescent="0.35">
      <c r="B18" s="18" t="s">
        <v>55</v>
      </c>
      <c r="C18"/>
      <c r="D18"/>
      <c r="E18" s="116">
        <f t="shared" si="5"/>
        <v>26000.000000000004</v>
      </c>
      <c r="F18" s="77">
        <v>2166.6666666666665</v>
      </c>
      <c r="G18" s="77">
        <v>2166.6666666666665</v>
      </c>
      <c r="H18" s="77">
        <v>2166.6666666666665</v>
      </c>
      <c r="I18" s="77">
        <v>2166.6666666666665</v>
      </c>
      <c r="J18" s="77">
        <v>2166.6666666666665</v>
      </c>
      <c r="K18" s="77">
        <v>2166.6666666666665</v>
      </c>
      <c r="L18" s="77">
        <v>2166.6666666666665</v>
      </c>
      <c r="M18" s="77">
        <v>2166.6666666666665</v>
      </c>
      <c r="N18" s="77">
        <v>2166.6666666666665</v>
      </c>
      <c r="O18" s="77">
        <v>2166.6666666666665</v>
      </c>
      <c r="P18" s="77">
        <v>2166.6666666666665</v>
      </c>
      <c r="Q18" s="77">
        <v>2166.6666666666665</v>
      </c>
      <c r="R18" s="116">
        <f t="shared" si="6"/>
        <v>44357.4</v>
      </c>
      <c r="S18" s="77">
        <f t="shared" si="25"/>
        <v>0</v>
      </c>
      <c r="T18" s="77">
        <f t="shared" si="25"/>
        <v>0</v>
      </c>
      <c r="U18" s="77">
        <f t="shared" si="25"/>
        <v>16906</v>
      </c>
      <c r="V18" s="77">
        <f t="shared" si="25"/>
        <v>0</v>
      </c>
      <c r="W18" s="77">
        <f t="shared" si="25"/>
        <v>0</v>
      </c>
      <c r="X18" s="77">
        <f t="shared" si="25"/>
        <v>13725.6</v>
      </c>
      <c r="Y18" s="77">
        <f t="shared" si="25"/>
        <v>0</v>
      </c>
      <c r="Z18" s="77">
        <f t="shared" si="25"/>
        <v>0</v>
      </c>
      <c r="AA18" s="77">
        <f t="shared" si="25"/>
        <v>13725.800000000001</v>
      </c>
      <c r="AB18" s="77">
        <f t="shared" si="25"/>
        <v>0</v>
      </c>
      <c r="AC18" s="77">
        <f t="shared" si="25"/>
        <v>0</v>
      </c>
      <c r="AD18" s="77">
        <f t="shared" si="25"/>
        <v>0</v>
      </c>
      <c r="AE18" s="116">
        <f t="shared" si="8"/>
        <v>-18357.399999999998</v>
      </c>
      <c r="AF18" s="77">
        <f t="shared" si="9"/>
        <v>2166.6666666666665</v>
      </c>
      <c r="AG18" s="77">
        <f t="shared" si="10"/>
        <v>2166.6666666666665</v>
      </c>
      <c r="AH18" s="77">
        <f t="shared" si="11"/>
        <v>-14739.333333333334</v>
      </c>
      <c r="AI18" s="77">
        <f t="shared" si="12"/>
        <v>2166.6666666666665</v>
      </c>
      <c r="AJ18" s="77">
        <f t="shared" si="13"/>
        <v>2166.6666666666665</v>
      </c>
      <c r="AK18" s="77">
        <f t="shared" si="14"/>
        <v>-11558.933333333334</v>
      </c>
      <c r="AL18" s="77">
        <f t="shared" si="15"/>
        <v>2166.6666666666665</v>
      </c>
      <c r="AM18" s="77">
        <f t="shared" si="16"/>
        <v>2166.6666666666665</v>
      </c>
      <c r="AN18" s="77">
        <f t="shared" si="17"/>
        <v>-11559.133333333335</v>
      </c>
      <c r="AO18" s="77">
        <f t="shared" si="18"/>
        <v>2166.6666666666665</v>
      </c>
      <c r="AP18" s="77">
        <f t="shared" si="19"/>
        <v>2166.6666666666665</v>
      </c>
      <c r="AQ18" s="77">
        <f t="shared" si="20"/>
        <v>2166.6666666666665</v>
      </c>
      <c r="AS18" s="17"/>
    </row>
    <row r="19" spans="2:45" x14ac:dyDescent="0.35">
      <c r="B19" s="53" t="s">
        <v>56</v>
      </c>
      <c r="C19" s="76"/>
      <c r="D19" s="76"/>
      <c r="E19" s="115">
        <f t="shared" si="5"/>
        <v>650000</v>
      </c>
      <c r="F19" s="78">
        <f>SUM(F20:F22)</f>
        <v>54166.666666666672</v>
      </c>
      <c r="G19" s="78">
        <f t="shared" ref="G19:Q19" si="26">SUM(G20:G22)</f>
        <v>54166.666666666672</v>
      </c>
      <c r="H19" s="78">
        <f t="shared" si="26"/>
        <v>54166.666666666672</v>
      </c>
      <c r="I19" s="78">
        <f t="shared" si="26"/>
        <v>54166.666666666672</v>
      </c>
      <c r="J19" s="78">
        <f t="shared" si="26"/>
        <v>54166.666666666672</v>
      </c>
      <c r="K19" s="78">
        <f t="shared" si="26"/>
        <v>54166.666666666672</v>
      </c>
      <c r="L19" s="78">
        <f t="shared" si="26"/>
        <v>54166.666666666672</v>
      </c>
      <c r="M19" s="78">
        <f t="shared" si="26"/>
        <v>54166.666666666672</v>
      </c>
      <c r="N19" s="78">
        <f t="shared" si="26"/>
        <v>54166.666666666672</v>
      </c>
      <c r="O19" s="78">
        <f t="shared" si="26"/>
        <v>54166.666666666672</v>
      </c>
      <c r="P19" s="78">
        <f t="shared" si="26"/>
        <v>54166.666666666672</v>
      </c>
      <c r="Q19" s="78">
        <f t="shared" si="26"/>
        <v>54166.666666666672</v>
      </c>
      <c r="R19" s="115">
        <f t="shared" si="6"/>
        <v>471930</v>
      </c>
      <c r="S19" s="78">
        <f t="shared" ref="S19:X19" si="27">SUM(S20:S22)</f>
        <v>49950</v>
      </c>
      <c r="T19" s="78">
        <f t="shared" si="27"/>
        <v>47382</v>
      </c>
      <c r="U19" s="78">
        <f t="shared" si="27"/>
        <v>11765</v>
      </c>
      <c r="V19" s="78">
        <f t="shared" si="27"/>
        <v>113424</v>
      </c>
      <c r="W19" s="78">
        <f t="shared" si="27"/>
        <v>82995</v>
      </c>
      <c r="X19" s="78">
        <f t="shared" si="27"/>
        <v>23532</v>
      </c>
      <c r="Y19" s="78">
        <f t="shared" ref="Y19" si="28">SUM(Y20:Y22)</f>
        <v>85419</v>
      </c>
      <c r="Z19" s="78">
        <f t="shared" ref="Z19:AB19" si="29">SUM(Z20:Z22)</f>
        <v>2226</v>
      </c>
      <c r="AA19" s="78">
        <f t="shared" si="29"/>
        <v>55237</v>
      </c>
      <c r="AB19" s="78">
        <f t="shared" si="29"/>
        <v>0</v>
      </c>
      <c r="AC19" s="78">
        <f t="shared" ref="AC19:AD19" si="30">SUM(AC20:AC22)</f>
        <v>0</v>
      </c>
      <c r="AD19" s="78">
        <f t="shared" si="30"/>
        <v>0</v>
      </c>
      <c r="AE19" s="115">
        <f t="shared" si="8"/>
        <v>178070</v>
      </c>
      <c r="AF19" s="78">
        <f t="shared" si="9"/>
        <v>4216.6666666666715</v>
      </c>
      <c r="AG19" s="78">
        <f t="shared" si="10"/>
        <v>6784.6666666666715</v>
      </c>
      <c r="AH19" s="78">
        <f t="shared" si="11"/>
        <v>42401.666666666672</v>
      </c>
      <c r="AI19" s="78">
        <f t="shared" si="12"/>
        <v>-59257.333333333328</v>
      </c>
      <c r="AJ19" s="78">
        <f t="shared" si="13"/>
        <v>-28828.333333333328</v>
      </c>
      <c r="AK19" s="78">
        <f t="shared" si="14"/>
        <v>30634.666666666672</v>
      </c>
      <c r="AL19" s="78">
        <f t="shared" si="15"/>
        <v>-31252.333333333328</v>
      </c>
      <c r="AM19" s="78">
        <f t="shared" si="16"/>
        <v>51940.666666666672</v>
      </c>
      <c r="AN19" s="78">
        <f t="shared" si="17"/>
        <v>-1070.3333333333285</v>
      </c>
      <c r="AO19" s="78">
        <f t="shared" si="18"/>
        <v>54166.666666666672</v>
      </c>
      <c r="AP19" s="78">
        <f t="shared" si="19"/>
        <v>54166.666666666672</v>
      </c>
      <c r="AQ19" s="78">
        <f t="shared" si="20"/>
        <v>54166.666666666672</v>
      </c>
      <c r="AS19" s="54"/>
    </row>
    <row r="20" spans="2:45" x14ac:dyDescent="0.35">
      <c r="B20" s="18" t="s">
        <v>38</v>
      </c>
      <c r="C20"/>
      <c r="D20"/>
      <c r="E20" s="116">
        <f t="shared" si="5"/>
        <v>199999.99999999997</v>
      </c>
      <c r="F20" s="77">
        <v>16666.666666666668</v>
      </c>
      <c r="G20" s="77">
        <v>16666.666666666668</v>
      </c>
      <c r="H20" s="77">
        <v>16666.666666666668</v>
      </c>
      <c r="I20" s="77">
        <v>16666.666666666668</v>
      </c>
      <c r="J20" s="77">
        <v>16666.666666666668</v>
      </c>
      <c r="K20" s="77">
        <v>16666.666666666668</v>
      </c>
      <c r="L20" s="77">
        <v>16666.666666666668</v>
      </c>
      <c r="M20" s="77">
        <v>16666.666666666668</v>
      </c>
      <c r="N20" s="77">
        <v>16666.666666666668</v>
      </c>
      <c r="O20" s="77">
        <v>16666.666666666668</v>
      </c>
      <c r="P20" s="77">
        <v>16666.666666666668</v>
      </c>
      <c r="Q20" s="77">
        <v>16666.666666666668</v>
      </c>
      <c r="R20" s="116">
        <f t="shared" si="6"/>
        <v>162708</v>
      </c>
      <c r="S20" s="77">
        <f t="shared" ref="S20:AD23" si="31">IFERROR(SUMIFS(Skutecnost,Skupina,$B20,Rok,S$4,Mesic,S$5),0)</f>
        <v>0</v>
      </c>
      <c r="T20" s="77">
        <f t="shared" si="31"/>
        <v>0</v>
      </c>
      <c r="U20" s="77">
        <f t="shared" si="31"/>
        <v>1023</v>
      </c>
      <c r="V20" s="77">
        <f t="shared" si="31"/>
        <v>103209</v>
      </c>
      <c r="W20" s="77">
        <f t="shared" si="31"/>
        <v>18945</v>
      </c>
      <c r="X20" s="77">
        <f t="shared" si="31"/>
        <v>1590</v>
      </c>
      <c r="Y20" s="77">
        <f t="shared" si="31"/>
        <v>35657</v>
      </c>
      <c r="Z20" s="77">
        <f t="shared" si="31"/>
        <v>0</v>
      </c>
      <c r="AA20" s="77">
        <f t="shared" si="31"/>
        <v>2284</v>
      </c>
      <c r="AB20" s="77">
        <f t="shared" si="31"/>
        <v>0</v>
      </c>
      <c r="AC20" s="77">
        <f t="shared" si="31"/>
        <v>0</v>
      </c>
      <c r="AD20" s="77">
        <f t="shared" si="31"/>
        <v>0</v>
      </c>
      <c r="AE20" s="116">
        <f t="shared" si="8"/>
        <v>37291.999999999971</v>
      </c>
      <c r="AF20" s="77">
        <f t="shared" si="9"/>
        <v>16666.666666666668</v>
      </c>
      <c r="AG20" s="77">
        <f t="shared" si="10"/>
        <v>16666.666666666668</v>
      </c>
      <c r="AH20" s="77">
        <f t="shared" si="11"/>
        <v>15643.666666666668</v>
      </c>
      <c r="AI20" s="77">
        <f t="shared" si="12"/>
        <v>-86542.333333333328</v>
      </c>
      <c r="AJ20" s="77">
        <f t="shared" si="13"/>
        <v>-2278.3333333333321</v>
      </c>
      <c r="AK20" s="77">
        <f t="shared" si="14"/>
        <v>15076.666666666668</v>
      </c>
      <c r="AL20" s="77">
        <f t="shared" si="15"/>
        <v>-18990.333333333332</v>
      </c>
      <c r="AM20" s="77">
        <f t="shared" si="16"/>
        <v>16666.666666666668</v>
      </c>
      <c r="AN20" s="77">
        <f t="shared" si="17"/>
        <v>14382.666666666668</v>
      </c>
      <c r="AO20" s="77">
        <f t="shared" si="18"/>
        <v>16666.666666666668</v>
      </c>
      <c r="AP20" s="77">
        <f t="shared" si="19"/>
        <v>16666.666666666668</v>
      </c>
      <c r="AQ20" s="77">
        <f t="shared" si="20"/>
        <v>16666.666666666668</v>
      </c>
      <c r="AS20" s="17"/>
    </row>
    <row r="21" spans="2:45" x14ac:dyDescent="0.35">
      <c r="B21" s="18" t="s">
        <v>18</v>
      </c>
      <c r="C21"/>
      <c r="D21"/>
      <c r="E21" s="116">
        <f t="shared" si="5"/>
        <v>350000.00000000006</v>
      </c>
      <c r="F21" s="77">
        <v>29166.666666666668</v>
      </c>
      <c r="G21" s="77">
        <v>29166.666666666668</v>
      </c>
      <c r="H21" s="77">
        <v>29166.666666666668</v>
      </c>
      <c r="I21" s="77">
        <v>29166.666666666668</v>
      </c>
      <c r="J21" s="77">
        <v>29166.666666666668</v>
      </c>
      <c r="K21" s="77">
        <v>29166.666666666668</v>
      </c>
      <c r="L21" s="77">
        <v>29166.666666666668</v>
      </c>
      <c r="M21" s="77">
        <v>29166.666666666668</v>
      </c>
      <c r="N21" s="77">
        <v>29166.666666666668</v>
      </c>
      <c r="O21" s="77">
        <v>29166.666666666668</v>
      </c>
      <c r="P21" s="77">
        <v>29166.666666666668</v>
      </c>
      <c r="Q21" s="77">
        <v>29166.666666666668</v>
      </c>
      <c r="R21" s="116">
        <f t="shared" si="6"/>
        <v>216364</v>
      </c>
      <c r="S21" s="77">
        <f t="shared" si="31"/>
        <v>29400</v>
      </c>
      <c r="T21" s="77">
        <f t="shared" si="31"/>
        <v>1888</v>
      </c>
      <c r="U21" s="77">
        <f t="shared" si="31"/>
        <v>10742</v>
      </c>
      <c r="V21" s="77">
        <f t="shared" si="31"/>
        <v>10215</v>
      </c>
      <c r="W21" s="77">
        <f t="shared" si="31"/>
        <v>64050</v>
      </c>
      <c r="X21" s="77">
        <f t="shared" si="31"/>
        <v>16262</v>
      </c>
      <c r="Y21" s="77">
        <f t="shared" si="31"/>
        <v>28628</v>
      </c>
      <c r="Z21" s="77">
        <f t="shared" si="31"/>
        <v>2226</v>
      </c>
      <c r="AA21" s="77">
        <f t="shared" si="31"/>
        <v>52953</v>
      </c>
      <c r="AB21" s="77">
        <f t="shared" si="31"/>
        <v>0</v>
      </c>
      <c r="AC21" s="77">
        <f t="shared" si="31"/>
        <v>0</v>
      </c>
      <c r="AD21" s="77">
        <f t="shared" si="31"/>
        <v>0</v>
      </c>
      <c r="AE21" s="116">
        <f t="shared" si="8"/>
        <v>133636.00000000006</v>
      </c>
      <c r="AF21" s="77">
        <f t="shared" si="9"/>
        <v>-233.33333333333212</v>
      </c>
      <c r="AG21" s="77">
        <f t="shared" si="10"/>
        <v>27278.666666666668</v>
      </c>
      <c r="AH21" s="77">
        <f t="shared" si="11"/>
        <v>18424.666666666668</v>
      </c>
      <c r="AI21" s="77">
        <f t="shared" si="12"/>
        <v>18951.666666666668</v>
      </c>
      <c r="AJ21" s="77">
        <f t="shared" si="13"/>
        <v>-34883.333333333328</v>
      </c>
      <c r="AK21" s="77">
        <f t="shared" si="14"/>
        <v>12904.666666666668</v>
      </c>
      <c r="AL21" s="77">
        <f t="shared" si="15"/>
        <v>538.66666666666788</v>
      </c>
      <c r="AM21" s="77">
        <f t="shared" si="16"/>
        <v>26940.666666666668</v>
      </c>
      <c r="AN21" s="77">
        <f t="shared" si="17"/>
        <v>-23786.333333333332</v>
      </c>
      <c r="AO21" s="77">
        <f t="shared" si="18"/>
        <v>29166.666666666668</v>
      </c>
      <c r="AP21" s="77">
        <f t="shared" si="19"/>
        <v>29166.666666666668</v>
      </c>
      <c r="AQ21" s="77">
        <f t="shared" si="20"/>
        <v>29166.666666666668</v>
      </c>
      <c r="AS21" s="17"/>
    </row>
    <row r="22" spans="2:45" x14ac:dyDescent="0.35">
      <c r="B22" s="18" t="s">
        <v>17</v>
      </c>
      <c r="C22"/>
      <c r="D22"/>
      <c r="E22" s="116">
        <f t="shared" si="5"/>
        <v>99999.999999999985</v>
      </c>
      <c r="F22" s="77">
        <v>8333.3333333333339</v>
      </c>
      <c r="G22" s="77">
        <v>8333.3333333333339</v>
      </c>
      <c r="H22" s="77">
        <v>8333.3333333333339</v>
      </c>
      <c r="I22" s="77">
        <v>8333.3333333333339</v>
      </c>
      <c r="J22" s="77">
        <v>8333.3333333333339</v>
      </c>
      <c r="K22" s="77">
        <v>8333.3333333333339</v>
      </c>
      <c r="L22" s="77">
        <v>8333.3333333333339</v>
      </c>
      <c r="M22" s="77">
        <v>8333.3333333333339</v>
      </c>
      <c r="N22" s="77">
        <v>8333.3333333333339</v>
      </c>
      <c r="O22" s="77">
        <v>8333.3333333333339</v>
      </c>
      <c r="P22" s="77">
        <v>8333.3333333333339</v>
      </c>
      <c r="Q22" s="77">
        <v>8333.3333333333339</v>
      </c>
      <c r="R22" s="116">
        <f t="shared" si="6"/>
        <v>92858</v>
      </c>
      <c r="S22" s="77">
        <f t="shared" si="31"/>
        <v>20550</v>
      </c>
      <c r="T22" s="77">
        <f t="shared" si="31"/>
        <v>45494</v>
      </c>
      <c r="U22" s="77">
        <f t="shared" si="31"/>
        <v>0</v>
      </c>
      <c r="V22" s="77">
        <f t="shared" si="31"/>
        <v>0</v>
      </c>
      <c r="W22" s="77">
        <f t="shared" si="31"/>
        <v>0</v>
      </c>
      <c r="X22" s="77">
        <f t="shared" si="31"/>
        <v>5680</v>
      </c>
      <c r="Y22" s="77">
        <f t="shared" si="31"/>
        <v>21134</v>
      </c>
      <c r="Z22" s="77">
        <f t="shared" si="31"/>
        <v>0</v>
      </c>
      <c r="AA22" s="77">
        <f t="shared" si="31"/>
        <v>0</v>
      </c>
      <c r="AB22" s="77">
        <f t="shared" si="31"/>
        <v>0</v>
      </c>
      <c r="AC22" s="77">
        <f t="shared" si="31"/>
        <v>0</v>
      </c>
      <c r="AD22" s="77">
        <f t="shared" si="31"/>
        <v>0</v>
      </c>
      <c r="AE22" s="116">
        <f t="shared" si="8"/>
        <v>7141.9999999999854</v>
      </c>
      <c r="AF22" s="77">
        <f t="shared" si="9"/>
        <v>-12216.666666666666</v>
      </c>
      <c r="AG22" s="77">
        <f t="shared" si="10"/>
        <v>-37160.666666666664</v>
      </c>
      <c r="AH22" s="77">
        <f t="shared" si="11"/>
        <v>8333.3333333333339</v>
      </c>
      <c r="AI22" s="77">
        <f t="shared" si="12"/>
        <v>8333.3333333333339</v>
      </c>
      <c r="AJ22" s="77">
        <f t="shared" si="13"/>
        <v>8333.3333333333339</v>
      </c>
      <c r="AK22" s="77">
        <f t="shared" si="14"/>
        <v>2653.3333333333339</v>
      </c>
      <c r="AL22" s="77">
        <f t="shared" si="15"/>
        <v>-12800.666666666666</v>
      </c>
      <c r="AM22" s="77">
        <f t="shared" si="16"/>
        <v>8333.3333333333339</v>
      </c>
      <c r="AN22" s="77">
        <f t="shared" si="17"/>
        <v>8333.3333333333339</v>
      </c>
      <c r="AO22" s="77">
        <f t="shared" si="18"/>
        <v>8333.3333333333339</v>
      </c>
      <c r="AP22" s="77">
        <f t="shared" si="19"/>
        <v>8333.3333333333339</v>
      </c>
      <c r="AQ22" s="77">
        <f t="shared" si="20"/>
        <v>8333.3333333333339</v>
      </c>
      <c r="AS22" s="17"/>
    </row>
    <row r="23" spans="2:45" x14ac:dyDescent="0.35">
      <c r="B23" s="53" t="s">
        <v>6</v>
      </c>
      <c r="C23" s="76"/>
      <c r="D23" s="76"/>
      <c r="E23" s="115">
        <f t="shared" si="5"/>
        <v>1700000.0000000002</v>
      </c>
      <c r="F23" s="78">
        <v>141666.66666666666</v>
      </c>
      <c r="G23" s="78">
        <v>141666.66666666666</v>
      </c>
      <c r="H23" s="78">
        <v>141666.66666666666</v>
      </c>
      <c r="I23" s="78">
        <v>141666.66666666666</v>
      </c>
      <c r="J23" s="78">
        <v>141666.66666666666</v>
      </c>
      <c r="K23" s="78">
        <v>141666.66666666666</v>
      </c>
      <c r="L23" s="78">
        <v>141666.66666666666</v>
      </c>
      <c r="M23" s="78">
        <v>141666.66666666666</v>
      </c>
      <c r="N23" s="78">
        <v>141666.66666666666</v>
      </c>
      <c r="O23" s="78">
        <v>141666.66666666666</v>
      </c>
      <c r="P23" s="78">
        <v>141666.66666666666</v>
      </c>
      <c r="Q23" s="78">
        <v>141666.66666666666</v>
      </c>
      <c r="R23" s="115">
        <f t="shared" si="6"/>
        <v>1082329</v>
      </c>
      <c r="S23" s="78">
        <f t="shared" si="31"/>
        <v>144102</v>
      </c>
      <c r="T23" s="78">
        <f t="shared" si="31"/>
        <v>113176</v>
      </c>
      <c r="U23" s="78">
        <f t="shared" si="31"/>
        <v>81634</v>
      </c>
      <c r="V23" s="78">
        <f t="shared" si="31"/>
        <v>168522</v>
      </c>
      <c r="W23" s="78">
        <f t="shared" si="31"/>
        <v>64662</v>
      </c>
      <c r="X23" s="78">
        <f t="shared" si="31"/>
        <v>195582</v>
      </c>
      <c r="Y23" s="78">
        <f t="shared" si="31"/>
        <v>85466</v>
      </c>
      <c r="Z23" s="78">
        <f t="shared" si="31"/>
        <v>200113</v>
      </c>
      <c r="AA23" s="78">
        <f t="shared" si="31"/>
        <v>21261</v>
      </c>
      <c r="AB23" s="78">
        <f t="shared" si="31"/>
        <v>7811</v>
      </c>
      <c r="AC23" s="78">
        <f t="shared" si="31"/>
        <v>0</v>
      </c>
      <c r="AD23" s="78">
        <f t="shared" si="31"/>
        <v>0</v>
      </c>
      <c r="AE23" s="115">
        <f t="shared" si="8"/>
        <v>617671.00000000023</v>
      </c>
      <c r="AF23" s="78">
        <f t="shared" si="9"/>
        <v>-2435.333333333343</v>
      </c>
      <c r="AG23" s="78">
        <f t="shared" si="10"/>
        <v>28490.666666666657</v>
      </c>
      <c r="AH23" s="78">
        <f t="shared" si="11"/>
        <v>60032.666666666657</v>
      </c>
      <c r="AI23" s="78">
        <f t="shared" si="12"/>
        <v>-26855.333333333343</v>
      </c>
      <c r="AJ23" s="78">
        <f t="shared" si="13"/>
        <v>77004.666666666657</v>
      </c>
      <c r="AK23" s="78">
        <f t="shared" si="14"/>
        <v>-53915.333333333343</v>
      </c>
      <c r="AL23" s="78">
        <f t="shared" si="15"/>
        <v>56200.666666666657</v>
      </c>
      <c r="AM23" s="78">
        <f t="shared" si="16"/>
        <v>-58446.333333333343</v>
      </c>
      <c r="AN23" s="78">
        <f t="shared" si="17"/>
        <v>120405.66666666666</v>
      </c>
      <c r="AO23" s="78">
        <f t="shared" si="18"/>
        <v>133855.66666666666</v>
      </c>
      <c r="AP23" s="78">
        <f t="shared" si="19"/>
        <v>141666.66666666666</v>
      </c>
      <c r="AQ23" s="78">
        <f t="shared" si="20"/>
        <v>141666.66666666666</v>
      </c>
      <c r="AS23" s="54"/>
    </row>
    <row r="24" spans="2:45" x14ac:dyDescent="0.35">
      <c r="B24" s="53" t="s">
        <v>57</v>
      </c>
      <c r="C24" s="76"/>
      <c r="D24" s="76"/>
      <c r="E24" s="115">
        <f t="shared" si="5"/>
        <v>320000</v>
      </c>
      <c r="F24" s="78">
        <v>26666.666666666668</v>
      </c>
      <c r="G24" s="78">
        <v>26666.666666666668</v>
      </c>
      <c r="H24" s="78">
        <v>26666.666666666668</v>
      </c>
      <c r="I24" s="78">
        <v>26666.666666666668</v>
      </c>
      <c r="J24" s="78">
        <v>26666.666666666668</v>
      </c>
      <c r="K24" s="78">
        <v>26666.666666666668</v>
      </c>
      <c r="L24" s="78">
        <v>26666.666666666668</v>
      </c>
      <c r="M24" s="78">
        <v>26666.666666666668</v>
      </c>
      <c r="N24" s="78">
        <v>26666.666666666668</v>
      </c>
      <c r="O24" s="78">
        <v>26666.666666666668</v>
      </c>
      <c r="P24" s="78">
        <v>26666.666666666668</v>
      </c>
      <c r="Q24" s="78">
        <v>26666.666666666668</v>
      </c>
      <c r="R24" s="115">
        <f t="shared" si="6"/>
        <v>364519</v>
      </c>
      <c r="S24" s="78">
        <f t="shared" ref="S24:X24" si="32">SUM(S25:S26)</f>
        <v>4088</v>
      </c>
      <c r="T24" s="78">
        <f t="shared" si="32"/>
        <v>11622</v>
      </c>
      <c r="U24" s="78">
        <f t="shared" si="32"/>
        <v>53913</v>
      </c>
      <c r="V24" s="78">
        <f t="shared" si="32"/>
        <v>28666</v>
      </c>
      <c r="W24" s="78">
        <f t="shared" si="32"/>
        <v>3501</v>
      </c>
      <c r="X24" s="78">
        <f t="shared" si="32"/>
        <v>6192</v>
      </c>
      <c r="Y24" s="78">
        <f t="shared" ref="Y24" si="33">SUM(Y25:Y26)</f>
        <v>45200</v>
      </c>
      <c r="Z24" s="78">
        <f t="shared" ref="Z24:AD24" si="34">SUM(Z25:Z26)</f>
        <v>140115</v>
      </c>
      <c r="AA24" s="78">
        <f t="shared" si="34"/>
        <v>48782</v>
      </c>
      <c r="AB24" s="78">
        <f t="shared" si="34"/>
        <v>22440</v>
      </c>
      <c r="AC24" s="78">
        <f t="shared" si="34"/>
        <v>0</v>
      </c>
      <c r="AD24" s="78">
        <f t="shared" si="34"/>
        <v>0</v>
      </c>
      <c r="AE24" s="115">
        <f t="shared" si="8"/>
        <v>-44519</v>
      </c>
      <c r="AF24" s="78">
        <f t="shared" si="9"/>
        <v>22578.666666666668</v>
      </c>
      <c r="AG24" s="78">
        <f t="shared" si="10"/>
        <v>15044.666666666668</v>
      </c>
      <c r="AH24" s="78">
        <f t="shared" si="11"/>
        <v>-27246.333333333332</v>
      </c>
      <c r="AI24" s="78">
        <f t="shared" si="12"/>
        <v>-1999.3333333333321</v>
      </c>
      <c r="AJ24" s="78">
        <f t="shared" si="13"/>
        <v>23165.666666666668</v>
      </c>
      <c r="AK24" s="78">
        <f t="shared" si="14"/>
        <v>20474.666666666668</v>
      </c>
      <c r="AL24" s="78">
        <f t="shared" si="15"/>
        <v>-18533.333333333332</v>
      </c>
      <c r="AM24" s="78">
        <f t="shared" si="16"/>
        <v>-113448.33333333333</v>
      </c>
      <c r="AN24" s="78">
        <f t="shared" si="17"/>
        <v>-22115.333333333332</v>
      </c>
      <c r="AO24" s="78">
        <f t="shared" si="18"/>
        <v>4226.6666666666679</v>
      </c>
      <c r="AP24" s="78">
        <f t="shared" si="19"/>
        <v>26666.666666666668</v>
      </c>
      <c r="AQ24" s="78">
        <f t="shared" si="20"/>
        <v>26666.666666666668</v>
      </c>
      <c r="AS24" s="54"/>
    </row>
    <row r="25" spans="2:45" x14ac:dyDescent="0.35">
      <c r="B25" s="18" t="s">
        <v>39</v>
      </c>
      <c r="C25"/>
      <c r="D25"/>
      <c r="E25" s="116">
        <f t="shared" si="5"/>
        <v>120000</v>
      </c>
      <c r="F25" s="77">
        <v>10000</v>
      </c>
      <c r="G25" s="77">
        <v>10000</v>
      </c>
      <c r="H25" s="77">
        <v>10000</v>
      </c>
      <c r="I25" s="77">
        <v>10000</v>
      </c>
      <c r="J25" s="77">
        <v>10000</v>
      </c>
      <c r="K25" s="77">
        <v>10000</v>
      </c>
      <c r="L25" s="77">
        <v>10000</v>
      </c>
      <c r="M25" s="77">
        <v>10000</v>
      </c>
      <c r="N25" s="77">
        <v>10000</v>
      </c>
      <c r="O25" s="77">
        <v>10000</v>
      </c>
      <c r="P25" s="77">
        <v>10000</v>
      </c>
      <c r="Q25" s="77">
        <v>10000</v>
      </c>
      <c r="R25" s="116">
        <f t="shared" si="6"/>
        <v>166375</v>
      </c>
      <c r="S25" s="77">
        <f t="shared" ref="S25:AD26" si="35">IFERROR(SUMIFS(Skutecnost,Skupina,$B25,Rok,S$4,Mesic,S$5),0)</f>
        <v>738</v>
      </c>
      <c r="T25" s="77">
        <f t="shared" si="35"/>
        <v>276</v>
      </c>
      <c r="U25" s="77">
        <f t="shared" si="35"/>
        <v>20079</v>
      </c>
      <c r="V25" s="77">
        <f t="shared" si="35"/>
        <v>24759</v>
      </c>
      <c r="W25" s="77">
        <f t="shared" si="35"/>
        <v>2184</v>
      </c>
      <c r="X25" s="77">
        <f t="shared" si="35"/>
        <v>286</v>
      </c>
      <c r="Y25" s="77">
        <f t="shared" si="35"/>
        <v>35955</v>
      </c>
      <c r="Z25" s="77">
        <f t="shared" si="35"/>
        <v>19439</v>
      </c>
      <c r="AA25" s="77">
        <f t="shared" si="35"/>
        <v>40219</v>
      </c>
      <c r="AB25" s="77">
        <f t="shared" si="35"/>
        <v>22440</v>
      </c>
      <c r="AC25" s="77">
        <f t="shared" si="35"/>
        <v>0</v>
      </c>
      <c r="AD25" s="77">
        <f t="shared" si="35"/>
        <v>0</v>
      </c>
      <c r="AE25" s="116">
        <f t="shared" si="8"/>
        <v>-46375</v>
      </c>
      <c r="AF25" s="77">
        <f t="shared" si="9"/>
        <v>9262</v>
      </c>
      <c r="AG25" s="77">
        <f t="shared" si="10"/>
        <v>9724</v>
      </c>
      <c r="AH25" s="77">
        <f t="shared" si="11"/>
        <v>-10079</v>
      </c>
      <c r="AI25" s="77">
        <f t="shared" si="12"/>
        <v>-14759</v>
      </c>
      <c r="AJ25" s="77">
        <f t="shared" si="13"/>
        <v>7816</v>
      </c>
      <c r="AK25" s="77">
        <f t="shared" si="14"/>
        <v>9714</v>
      </c>
      <c r="AL25" s="77">
        <f t="shared" si="15"/>
        <v>-25955</v>
      </c>
      <c r="AM25" s="77">
        <f t="shared" si="16"/>
        <v>-9439</v>
      </c>
      <c r="AN25" s="77">
        <f t="shared" si="17"/>
        <v>-30219</v>
      </c>
      <c r="AO25" s="77">
        <f t="shared" si="18"/>
        <v>-12440</v>
      </c>
      <c r="AP25" s="77">
        <f t="shared" si="19"/>
        <v>10000</v>
      </c>
      <c r="AQ25" s="77">
        <f t="shared" si="20"/>
        <v>10000</v>
      </c>
      <c r="AS25" s="17"/>
    </row>
    <row r="26" spans="2:45" x14ac:dyDescent="0.35">
      <c r="B26" s="18" t="s">
        <v>10</v>
      </c>
      <c r="C26"/>
      <c r="D26"/>
      <c r="E26" s="116">
        <f t="shared" si="5"/>
        <v>199999.99999999997</v>
      </c>
      <c r="F26" s="77">
        <v>16666.666666666668</v>
      </c>
      <c r="G26" s="77">
        <v>16666.666666666668</v>
      </c>
      <c r="H26" s="77">
        <v>16666.666666666668</v>
      </c>
      <c r="I26" s="77">
        <v>16666.666666666668</v>
      </c>
      <c r="J26" s="77">
        <v>16666.666666666668</v>
      </c>
      <c r="K26" s="77">
        <v>16666.666666666668</v>
      </c>
      <c r="L26" s="77">
        <v>16666.666666666668</v>
      </c>
      <c r="M26" s="77">
        <v>16666.666666666668</v>
      </c>
      <c r="N26" s="77">
        <v>16666.666666666668</v>
      </c>
      <c r="O26" s="77">
        <v>16666.666666666668</v>
      </c>
      <c r="P26" s="77">
        <v>16666.666666666668</v>
      </c>
      <c r="Q26" s="77">
        <v>16666.666666666668</v>
      </c>
      <c r="R26" s="116">
        <f t="shared" si="6"/>
        <v>198144</v>
      </c>
      <c r="S26" s="77">
        <f t="shared" si="35"/>
        <v>3350</v>
      </c>
      <c r="T26" s="77">
        <f t="shared" si="35"/>
        <v>11346</v>
      </c>
      <c r="U26" s="77">
        <f t="shared" si="35"/>
        <v>33834</v>
      </c>
      <c r="V26" s="77">
        <f t="shared" si="35"/>
        <v>3907</v>
      </c>
      <c r="W26" s="77">
        <f t="shared" si="35"/>
        <v>1317</v>
      </c>
      <c r="X26" s="77">
        <f t="shared" si="35"/>
        <v>5906</v>
      </c>
      <c r="Y26" s="77">
        <f t="shared" si="35"/>
        <v>9245</v>
      </c>
      <c r="Z26" s="77">
        <f t="shared" si="35"/>
        <v>120676</v>
      </c>
      <c r="AA26" s="77">
        <f t="shared" si="35"/>
        <v>8563</v>
      </c>
      <c r="AB26" s="77">
        <f t="shared" si="35"/>
        <v>0</v>
      </c>
      <c r="AC26" s="77">
        <f t="shared" si="35"/>
        <v>0</v>
      </c>
      <c r="AD26" s="77">
        <f t="shared" si="35"/>
        <v>0</v>
      </c>
      <c r="AE26" s="116">
        <f t="shared" si="8"/>
        <v>1855.9999999999709</v>
      </c>
      <c r="AF26" s="77">
        <f t="shared" si="9"/>
        <v>13316.666666666668</v>
      </c>
      <c r="AG26" s="77">
        <f t="shared" si="10"/>
        <v>5320.6666666666679</v>
      </c>
      <c r="AH26" s="77">
        <f t="shared" si="11"/>
        <v>-17167.333333333332</v>
      </c>
      <c r="AI26" s="77">
        <f t="shared" si="12"/>
        <v>12759.666666666668</v>
      </c>
      <c r="AJ26" s="77">
        <f t="shared" si="13"/>
        <v>15349.666666666668</v>
      </c>
      <c r="AK26" s="77">
        <f t="shared" si="14"/>
        <v>10760.666666666668</v>
      </c>
      <c r="AL26" s="77">
        <f t="shared" si="15"/>
        <v>7421.6666666666679</v>
      </c>
      <c r="AM26" s="77">
        <f t="shared" si="16"/>
        <v>-104009.33333333333</v>
      </c>
      <c r="AN26" s="77">
        <f t="shared" si="17"/>
        <v>8103.6666666666679</v>
      </c>
      <c r="AO26" s="77">
        <f t="shared" si="18"/>
        <v>16666.666666666668</v>
      </c>
      <c r="AP26" s="77">
        <f t="shared" si="19"/>
        <v>16666.666666666668</v>
      </c>
      <c r="AQ26" s="77">
        <f t="shared" si="20"/>
        <v>16666.666666666668</v>
      </c>
      <c r="AS26" s="17"/>
    </row>
    <row r="27" spans="2:45" x14ac:dyDescent="0.35">
      <c r="B27" s="53" t="s">
        <v>58</v>
      </c>
      <c r="C27" s="76"/>
      <c r="D27" s="76"/>
      <c r="E27" s="115">
        <f t="shared" si="5"/>
        <v>6000000</v>
      </c>
      <c r="F27" s="78">
        <f t="shared" ref="F27:Q27" si="36">SUM(F28:F37)</f>
        <v>500000</v>
      </c>
      <c r="G27" s="78">
        <f t="shared" si="36"/>
        <v>500000</v>
      </c>
      <c r="H27" s="78">
        <f t="shared" si="36"/>
        <v>500000</v>
      </c>
      <c r="I27" s="78">
        <f t="shared" si="36"/>
        <v>500000</v>
      </c>
      <c r="J27" s="78">
        <f t="shared" si="36"/>
        <v>500000</v>
      </c>
      <c r="K27" s="78">
        <f t="shared" si="36"/>
        <v>500000</v>
      </c>
      <c r="L27" s="78">
        <f t="shared" si="36"/>
        <v>500000</v>
      </c>
      <c r="M27" s="78">
        <f t="shared" si="36"/>
        <v>500000</v>
      </c>
      <c r="N27" s="78">
        <f t="shared" si="36"/>
        <v>500000</v>
      </c>
      <c r="O27" s="78">
        <f t="shared" si="36"/>
        <v>500000</v>
      </c>
      <c r="P27" s="78">
        <f t="shared" si="36"/>
        <v>500000</v>
      </c>
      <c r="Q27" s="78">
        <f t="shared" si="36"/>
        <v>500000</v>
      </c>
      <c r="R27" s="115">
        <f t="shared" si="6"/>
        <v>4328343</v>
      </c>
      <c r="S27" s="78">
        <f t="shared" ref="S27:X27" si="37">SUM(S28:S37)</f>
        <v>207662</v>
      </c>
      <c r="T27" s="78">
        <f t="shared" si="37"/>
        <v>452379</v>
      </c>
      <c r="U27" s="78">
        <f t="shared" si="37"/>
        <v>328522</v>
      </c>
      <c r="V27" s="78">
        <f t="shared" si="37"/>
        <v>447613</v>
      </c>
      <c r="W27" s="78">
        <f t="shared" si="37"/>
        <v>247139</v>
      </c>
      <c r="X27" s="78">
        <f t="shared" si="37"/>
        <v>569481</v>
      </c>
      <c r="Y27" s="78">
        <f t="shared" ref="Y27" si="38">SUM(Y28:Y37)</f>
        <v>603519</v>
      </c>
      <c r="Z27" s="78">
        <f t="shared" ref="Z27:AD27" si="39">SUM(Z28:Z37)</f>
        <v>1050373</v>
      </c>
      <c r="AA27" s="78">
        <f t="shared" si="39"/>
        <v>324354</v>
      </c>
      <c r="AB27" s="78">
        <f t="shared" si="39"/>
        <v>97301</v>
      </c>
      <c r="AC27" s="78">
        <f t="shared" si="39"/>
        <v>0</v>
      </c>
      <c r="AD27" s="78">
        <f t="shared" si="39"/>
        <v>0</v>
      </c>
      <c r="AE27" s="115">
        <f t="shared" si="8"/>
        <v>1671657</v>
      </c>
      <c r="AF27" s="78">
        <f t="shared" si="9"/>
        <v>292338</v>
      </c>
      <c r="AG27" s="78">
        <f t="shared" si="10"/>
        <v>47621</v>
      </c>
      <c r="AH27" s="78">
        <f t="shared" si="11"/>
        <v>171478</v>
      </c>
      <c r="AI27" s="78">
        <f t="shared" si="12"/>
        <v>52387</v>
      </c>
      <c r="AJ27" s="78">
        <f t="shared" si="13"/>
        <v>252861</v>
      </c>
      <c r="AK27" s="78">
        <f t="shared" si="14"/>
        <v>-69481</v>
      </c>
      <c r="AL27" s="78">
        <f t="shared" si="15"/>
        <v>-103519</v>
      </c>
      <c r="AM27" s="78">
        <f t="shared" si="16"/>
        <v>-550373</v>
      </c>
      <c r="AN27" s="78">
        <f t="shared" si="17"/>
        <v>175646</v>
      </c>
      <c r="AO27" s="78">
        <f t="shared" si="18"/>
        <v>402699</v>
      </c>
      <c r="AP27" s="78">
        <f t="shared" si="19"/>
        <v>500000</v>
      </c>
      <c r="AQ27" s="78">
        <f t="shared" si="20"/>
        <v>500000</v>
      </c>
      <c r="AS27" s="54"/>
    </row>
    <row r="28" spans="2:45" x14ac:dyDescent="0.35">
      <c r="B28" s="18" t="s">
        <v>13</v>
      </c>
      <c r="C28"/>
      <c r="D28"/>
      <c r="E28" s="116">
        <f t="shared" si="5"/>
        <v>20000</v>
      </c>
      <c r="F28" s="77">
        <v>1666.6666666666667</v>
      </c>
      <c r="G28" s="77">
        <v>1666.6666666666667</v>
      </c>
      <c r="H28" s="77">
        <v>1666.6666666666667</v>
      </c>
      <c r="I28" s="77">
        <v>1666.6666666666667</v>
      </c>
      <c r="J28" s="77">
        <v>1666.6666666666667</v>
      </c>
      <c r="K28" s="77">
        <v>1666.6666666666667</v>
      </c>
      <c r="L28" s="77">
        <v>1666.6666666666667</v>
      </c>
      <c r="M28" s="77">
        <v>1666.6666666666667</v>
      </c>
      <c r="N28" s="77">
        <v>1666.6666666666667</v>
      </c>
      <c r="O28" s="77">
        <v>1666.6666666666667</v>
      </c>
      <c r="P28" s="77">
        <v>1666.6666666666667</v>
      </c>
      <c r="Q28" s="77">
        <v>1666.6666666666667</v>
      </c>
      <c r="R28" s="116">
        <f t="shared" si="6"/>
        <v>5394</v>
      </c>
      <c r="S28" s="77">
        <f t="shared" ref="S28:AD37" si="40">IFERROR(SUMIFS(Skutecnost,Skupina,$B28,Rok,S$4,Mesic,S$5),0)</f>
        <v>0</v>
      </c>
      <c r="T28" s="77">
        <f t="shared" si="40"/>
        <v>226</v>
      </c>
      <c r="U28" s="77">
        <f t="shared" si="40"/>
        <v>3471</v>
      </c>
      <c r="V28" s="77">
        <f t="shared" si="40"/>
        <v>563</v>
      </c>
      <c r="W28" s="77">
        <f t="shared" si="40"/>
        <v>86</v>
      </c>
      <c r="X28" s="77">
        <f t="shared" si="40"/>
        <v>0</v>
      </c>
      <c r="Y28" s="77">
        <f t="shared" si="40"/>
        <v>380</v>
      </c>
      <c r="Z28" s="77">
        <f t="shared" si="40"/>
        <v>516</v>
      </c>
      <c r="AA28" s="77">
        <f t="shared" si="40"/>
        <v>152</v>
      </c>
      <c r="AB28" s="77">
        <f t="shared" si="40"/>
        <v>0</v>
      </c>
      <c r="AC28" s="77">
        <f t="shared" si="40"/>
        <v>0</v>
      </c>
      <c r="AD28" s="77">
        <f t="shared" si="40"/>
        <v>0</v>
      </c>
      <c r="AE28" s="116">
        <f t="shared" si="8"/>
        <v>14606</v>
      </c>
      <c r="AF28" s="77">
        <f t="shared" si="9"/>
        <v>1666.6666666666667</v>
      </c>
      <c r="AG28" s="77">
        <f t="shared" si="10"/>
        <v>1440.6666666666667</v>
      </c>
      <c r="AH28" s="77">
        <f t="shared" si="11"/>
        <v>-1804.3333333333333</v>
      </c>
      <c r="AI28" s="77">
        <f t="shared" si="12"/>
        <v>1103.6666666666667</v>
      </c>
      <c r="AJ28" s="77">
        <f t="shared" si="13"/>
        <v>1580.6666666666667</v>
      </c>
      <c r="AK28" s="77">
        <f t="shared" si="14"/>
        <v>1666.6666666666667</v>
      </c>
      <c r="AL28" s="77">
        <f t="shared" si="15"/>
        <v>1286.6666666666667</v>
      </c>
      <c r="AM28" s="77">
        <f t="shared" si="16"/>
        <v>1150.6666666666667</v>
      </c>
      <c r="AN28" s="77">
        <f t="shared" si="17"/>
        <v>1514.6666666666667</v>
      </c>
      <c r="AO28" s="77">
        <f t="shared" si="18"/>
        <v>1666.6666666666667</v>
      </c>
      <c r="AP28" s="77">
        <f t="shared" si="19"/>
        <v>1666.6666666666667</v>
      </c>
      <c r="AQ28" s="77">
        <f t="shared" si="20"/>
        <v>1666.6666666666667</v>
      </c>
      <c r="AS28" s="17"/>
    </row>
    <row r="29" spans="2:45" x14ac:dyDescent="0.35">
      <c r="B29" s="18" t="s">
        <v>15</v>
      </c>
      <c r="C29"/>
      <c r="D29"/>
      <c r="E29" s="116">
        <f t="shared" si="5"/>
        <v>399999.99999999994</v>
      </c>
      <c r="F29" s="77">
        <v>33333.333333333336</v>
      </c>
      <c r="G29" s="77">
        <v>33333.333333333336</v>
      </c>
      <c r="H29" s="77">
        <v>33333.333333333336</v>
      </c>
      <c r="I29" s="77">
        <v>33333.333333333336</v>
      </c>
      <c r="J29" s="77">
        <v>33333.333333333336</v>
      </c>
      <c r="K29" s="77">
        <v>33333.333333333336</v>
      </c>
      <c r="L29" s="77">
        <v>33333.333333333336</v>
      </c>
      <c r="M29" s="77">
        <v>33333.333333333336</v>
      </c>
      <c r="N29" s="77">
        <v>33333.333333333336</v>
      </c>
      <c r="O29" s="77">
        <v>33333.333333333336</v>
      </c>
      <c r="P29" s="77">
        <v>33333.333333333336</v>
      </c>
      <c r="Q29" s="77">
        <v>33333.333333333336</v>
      </c>
      <c r="R29" s="116">
        <f t="shared" si="6"/>
        <v>276111</v>
      </c>
      <c r="S29" s="77">
        <f t="shared" si="40"/>
        <v>0</v>
      </c>
      <c r="T29" s="77">
        <f t="shared" si="40"/>
        <v>65044</v>
      </c>
      <c r="U29" s="77">
        <f t="shared" si="40"/>
        <v>32482</v>
      </c>
      <c r="V29" s="77">
        <f t="shared" si="40"/>
        <v>6202</v>
      </c>
      <c r="W29" s="77">
        <f t="shared" si="40"/>
        <v>32689</v>
      </c>
      <c r="X29" s="77">
        <f t="shared" si="40"/>
        <v>27954</v>
      </c>
      <c r="Y29" s="77">
        <f t="shared" si="40"/>
        <v>27579</v>
      </c>
      <c r="Z29" s="77">
        <f t="shared" si="40"/>
        <v>30481</v>
      </c>
      <c r="AA29" s="77">
        <f t="shared" si="40"/>
        <v>29793</v>
      </c>
      <c r="AB29" s="77">
        <f t="shared" si="40"/>
        <v>23887</v>
      </c>
      <c r="AC29" s="77">
        <f t="shared" si="40"/>
        <v>0</v>
      </c>
      <c r="AD29" s="77">
        <f t="shared" si="40"/>
        <v>0</v>
      </c>
      <c r="AE29" s="116">
        <f t="shared" si="8"/>
        <v>123888.99999999994</v>
      </c>
      <c r="AF29" s="77">
        <f t="shared" si="9"/>
        <v>33333.333333333336</v>
      </c>
      <c r="AG29" s="77">
        <f t="shared" si="10"/>
        <v>-31710.666666666664</v>
      </c>
      <c r="AH29" s="77">
        <f t="shared" si="11"/>
        <v>851.33333333333576</v>
      </c>
      <c r="AI29" s="77">
        <f t="shared" si="12"/>
        <v>27131.333333333336</v>
      </c>
      <c r="AJ29" s="77">
        <f t="shared" si="13"/>
        <v>644.33333333333576</v>
      </c>
      <c r="AK29" s="77">
        <f t="shared" si="14"/>
        <v>5379.3333333333358</v>
      </c>
      <c r="AL29" s="77">
        <f t="shared" si="15"/>
        <v>5754.3333333333358</v>
      </c>
      <c r="AM29" s="77">
        <f t="shared" si="16"/>
        <v>2852.3333333333358</v>
      </c>
      <c r="AN29" s="77">
        <f t="shared" si="17"/>
        <v>3540.3333333333358</v>
      </c>
      <c r="AO29" s="77">
        <f t="shared" si="18"/>
        <v>9446.3333333333358</v>
      </c>
      <c r="AP29" s="77">
        <f t="shared" si="19"/>
        <v>33333.333333333336</v>
      </c>
      <c r="AQ29" s="77">
        <f t="shared" si="20"/>
        <v>33333.333333333336</v>
      </c>
      <c r="AS29" s="17"/>
    </row>
    <row r="30" spans="2:45" x14ac:dyDescent="0.35">
      <c r="B30" s="18" t="s">
        <v>14</v>
      </c>
      <c r="C30"/>
      <c r="D30"/>
      <c r="E30" s="116">
        <f t="shared" si="5"/>
        <v>2199999.9999999995</v>
      </c>
      <c r="F30" s="77">
        <v>183333.33333333334</v>
      </c>
      <c r="G30" s="77">
        <v>183333.33333333334</v>
      </c>
      <c r="H30" s="77">
        <v>183333.33333333334</v>
      </c>
      <c r="I30" s="77">
        <v>183333.33333333334</v>
      </c>
      <c r="J30" s="77">
        <v>183333.33333333334</v>
      </c>
      <c r="K30" s="77">
        <v>183333.33333333334</v>
      </c>
      <c r="L30" s="77">
        <v>183333.33333333334</v>
      </c>
      <c r="M30" s="77">
        <v>183333.33333333334</v>
      </c>
      <c r="N30" s="77">
        <v>183333.33333333334</v>
      </c>
      <c r="O30" s="77">
        <v>183333.33333333334</v>
      </c>
      <c r="P30" s="77">
        <v>183333.33333333334</v>
      </c>
      <c r="Q30" s="77">
        <v>183333.33333333334</v>
      </c>
      <c r="R30" s="116">
        <f t="shared" si="6"/>
        <v>1601924</v>
      </c>
      <c r="S30" s="77">
        <f t="shared" si="40"/>
        <v>103472</v>
      </c>
      <c r="T30" s="77">
        <f t="shared" si="40"/>
        <v>109656</v>
      </c>
      <c r="U30" s="77">
        <f t="shared" si="40"/>
        <v>143541</v>
      </c>
      <c r="V30" s="77">
        <f t="shared" si="40"/>
        <v>123179</v>
      </c>
      <c r="W30" s="77">
        <f t="shared" si="40"/>
        <v>92359</v>
      </c>
      <c r="X30" s="77">
        <f t="shared" si="40"/>
        <v>254103</v>
      </c>
      <c r="Y30" s="77">
        <f t="shared" si="40"/>
        <v>178289</v>
      </c>
      <c r="Z30" s="77">
        <f t="shared" si="40"/>
        <v>465901</v>
      </c>
      <c r="AA30" s="77">
        <f t="shared" si="40"/>
        <v>123424</v>
      </c>
      <c r="AB30" s="77">
        <f t="shared" si="40"/>
        <v>8000</v>
      </c>
      <c r="AC30" s="77">
        <f t="shared" si="40"/>
        <v>0</v>
      </c>
      <c r="AD30" s="77">
        <f t="shared" si="40"/>
        <v>0</v>
      </c>
      <c r="AE30" s="116">
        <f t="shared" si="8"/>
        <v>598075.99999999953</v>
      </c>
      <c r="AF30" s="77">
        <f t="shared" si="9"/>
        <v>79861.333333333343</v>
      </c>
      <c r="AG30" s="77">
        <f t="shared" si="10"/>
        <v>73677.333333333343</v>
      </c>
      <c r="AH30" s="77">
        <f t="shared" si="11"/>
        <v>39792.333333333343</v>
      </c>
      <c r="AI30" s="77">
        <f t="shared" si="12"/>
        <v>60154.333333333343</v>
      </c>
      <c r="AJ30" s="77">
        <f t="shared" si="13"/>
        <v>90974.333333333343</v>
      </c>
      <c r="AK30" s="77">
        <f t="shared" si="14"/>
        <v>-70769.666666666657</v>
      </c>
      <c r="AL30" s="77">
        <f t="shared" si="15"/>
        <v>5044.333333333343</v>
      </c>
      <c r="AM30" s="77">
        <f t="shared" si="16"/>
        <v>-282567.66666666663</v>
      </c>
      <c r="AN30" s="77">
        <f t="shared" si="17"/>
        <v>59909.333333333343</v>
      </c>
      <c r="AO30" s="77">
        <f t="shared" si="18"/>
        <v>175333.33333333334</v>
      </c>
      <c r="AP30" s="77">
        <f t="shared" si="19"/>
        <v>183333.33333333334</v>
      </c>
      <c r="AQ30" s="77">
        <f t="shared" si="20"/>
        <v>183333.33333333334</v>
      </c>
      <c r="AS30" s="17"/>
    </row>
    <row r="31" spans="2:45" x14ac:dyDescent="0.35">
      <c r="B31" s="18" t="s">
        <v>59</v>
      </c>
      <c r="C31"/>
      <c r="D31"/>
      <c r="E31" s="116">
        <f t="shared" si="5"/>
        <v>80000</v>
      </c>
      <c r="F31" s="77">
        <v>6666.666666666667</v>
      </c>
      <c r="G31" s="77">
        <v>6666.666666666667</v>
      </c>
      <c r="H31" s="77">
        <v>6666.666666666667</v>
      </c>
      <c r="I31" s="77">
        <v>6666.666666666667</v>
      </c>
      <c r="J31" s="77">
        <v>6666.666666666667</v>
      </c>
      <c r="K31" s="77">
        <v>6666.666666666667</v>
      </c>
      <c r="L31" s="77">
        <v>6666.666666666667</v>
      </c>
      <c r="M31" s="77">
        <v>6666.666666666667</v>
      </c>
      <c r="N31" s="77">
        <v>6666.666666666667</v>
      </c>
      <c r="O31" s="77">
        <v>6666.666666666667</v>
      </c>
      <c r="P31" s="77">
        <v>6666.666666666667</v>
      </c>
      <c r="Q31" s="77">
        <v>6666.666666666667</v>
      </c>
      <c r="R31" s="116">
        <f t="shared" si="6"/>
        <v>70442</v>
      </c>
      <c r="S31" s="77">
        <f t="shared" si="40"/>
        <v>5800</v>
      </c>
      <c r="T31" s="77">
        <f t="shared" si="40"/>
        <v>5800</v>
      </c>
      <c r="U31" s="77">
        <f t="shared" si="40"/>
        <v>10670</v>
      </c>
      <c r="V31" s="77">
        <f t="shared" si="40"/>
        <v>2550</v>
      </c>
      <c r="W31" s="77">
        <f t="shared" si="40"/>
        <v>22762</v>
      </c>
      <c r="X31" s="77">
        <f t="shared" si="40"/>
        <v>1800</v>
      </c>
      <c r="Y31" s="77">
        <f t="shared" si="40"/>
        <v>5550</v>
      </c>
      <c r="Z31" s="77">
        <f t="shared" si="40"/>
        <v>2550</v>
      </c>
      <c r="AA31" s="77">
        <f t="shared" si="40"/>
        <v>12960</v>
      </c>
      <c r="AB31" s="77">
        <f t="shared" si="40"/>
        <v>0</v>
      </c>
      <c r="AC31" s="77">
        <f t="shared" si="40"/>
        <v>0</v>
      </c>
      <c r="AD31" s="77">
        <f t="shared" si="40"/>
        <v>0</v>
      </c>
      <c r="AE31" s="116">
        <f t="shared" si="8"/>
        <v>9558</v>
      </c>
      <c r="AF31" s="77">
        <f t="shared" si="9"/>
        <v>866.66666666666697</v>
      </c>
      <c r="AG31" s="77">
        <f t="shared" si="10"/>
        <v>866.66666666666697</v>
      </c>
      <c r="AH31" s="77">
        <f t="shared" si="11"/>
        <v>-4003.333333333333</v>
      </c>
      <c r="AI31" s="77">
        <f t="shared" si="12"/>
        <v>4116.666666666667</v>
      </c>
      <c r="AJ31" s="77">
        <f t="shared" si="13"/>
        <v>-16095.333333333332</v>
      </c>
      <c r="AK31" s="77">
        <f t="shared" si="14"/>
        <v>4866.666666666667</v>
      </c>
      <c r="AL31" s="77">
        <f t="shared" si="15"/>
        <v>1116.666666666667</v>
      </c>
      <c r="AM31" s="77">
        <f t="shared" si="16"/>
        <v>4116.666666666667</v>
      </c>
      <c r="AN31" s="77">
        <f t="shared" si="17"/>
        <v>-6293.333333333333</v>
      </c>
      <c r="AO31" s="77">
        <f t="shared" si="18"/>
        <v>6666.666666666667</v>
      </c>
      <c r="AP31" s="77">
        <f t="shared" si="19"/>
        <v>6666.666666666667</v>
      </c>
      <c r="AQ31" s="77">
        <f t="shared" si="20"/>
        <v>6666.666666666667</v>
      </c>
      <c r="AS31" s="17"/>
    </row>
    <row r="32" spans="2:45" x14ac:dyDescent="0.35">
      <c r="B32" s="18" t="s">
        <v>27</v>
      </c>
      <c r="C32"/>
      <c r="D32"/>
      <c r="E32" s="116">
        <f t="shared" si="5"/>
        <v>549999.99999999988</v>
      </c>
      <c r="F32" s="77">
        <v>45833.333333333336</v>
      </c>
      <c r="G32" s="77">
        <v>45833.333333333336</v>
      </c>
      <c r="H32" s="77">
        <v>45833.333333333336</v>
      </c>
      <c r="I32" s="77">
        <v>45833.333333333336</v>
      </c>
      <c r="J32" s="77">
        <v>45833.333333333336</v>
      </c>
      <c r="K32" s="77">
        <v>45833.333333333336</v>
      </c>
      <c r="L32" s="77">
        <v>45833.333333333336</v>
      </c>
      <c r="M32" s="77">
        <v>45833.333333333336</v>
      </c>
      <c r="N32" s="77">
        <v>45833.333333333336</v>
      </c>
      <c r="O32" s="77">
        <v>45833.333333333336</v>
      </c>
      <c r="P32" s="77">
        <v>45833.333333333336</v>
      </c>
      <c r="Q32" s="77">
        <v>45833.333333333336</v>
      </c>
      <c r="R32" s="116">
        <f t="shared" si="6"/>
        <v>512953</v>
      </c>
      <c r="S32" s="77">
        <f t="shared" si="40"/>
        <v>43390</v>
      </c>
      <c r="T32" s="77">
        <f t="shared" si="40"/>
        <v>29590</v>
      </c>
      <c r="U32" s="77">
        <f t="shared" si="40"/>
        <v>28000</v>
      </c>
      <c r="V32" s="77">
        <f t="shared" si="40"/>
        <v>82497</v>
      </c>
      <c r="W32" s="77">
        <f t="shared" si="40"/>
        <v>28000</v>
      </c>
      <c r="X32" s="77">
        <f t="shared" si="40"/>
        <v>28000</v>
      </c>
      <c r="Y32" s="77">
        <f t="shared" si="40"/>
        <v>90052</v>
      </c>
      <c r="Z32" s="77">
        <f t="shared" si="40"/>
        <v>105966</v>
      </c>
      <c r="AA32" s="77">
        <f t="shared" si="40"/>
        <v>32458</v>
      </c>
      <c r="AB32" s="77">
        <f t="shared" si="40"/>
        <v>45000</v>
      </c>
      <c r="AC32" s="77">
        <f t="shared" si="40"/>
        <v>0</v>
      </c>
      <c r="AD32" s="77">
        <f t="shared" si="40"/>
        <v>0</v>
      </c>
      <c r="AE32" s="116">
        <f t="shared" si="8"/>
        <v>37046.999999999884</v>
      </c>
      <c r="AF32" s="77">
        <f t="shared" si="9"/>
        <v>2443.3333333333358</v>
      </c>
      <c r="AG32" s="77">
        <f t="shared" si="10"/>
        <v>16243.333333333336</v>
      </c>
      <c r="AH32" s="77">
        <f t="shared" si="11"/>
        <v>17833.333333333336</v>
      </c>
      <c r="AI32" s="77">
        <f t="shared" si="12"/>
        <v>-36663.666666666664</v>
      </c>
      <c r="AJ32" s="77">
        <f t="shared" si="13"/>
        <v>17833.333333333336</v>
      </c>
      <c r="AK32" s="77">
        <f t="shared" si="14"/>
        <v>17833.333333333336</v>
      </c>
      <c r="AL32" s="77">
        <f t="shared" si="15"/>
        <v>-44218.666666666664</v>
      </c>
      <c r="AM32" s="77">
        <f t="shared" si="16"/>
        <v>-60132.666666666664</v>
      </c>
      <c r="AN32" s="77">
        <f t="shared" si="17"/>
        <v>13375.333333333336</v>
      </c>
      <c r="AO32" s="77">
        <f t="shared" si="18"/>
        <v>833.33333333333576</v>
      </c>
      <c r="AP32" s="77">
        <f t="shared" si="19"/>
        <v>45833.333333333336</v>
      </c>
      <c r="AQ32" s="77">
        <f t="shared" si="20"/>
        <v>45833.333333333336</v>
      </c>
      <c r="AS32" s="17"/>
    </row>
    <row r="33" spans="2:45" x14ac:dyDescent="0.35">
      <c r="B33" s="18" t="s">
        <v>44</v>
      </c>
      <c r="C33"/>
      <c r="D33"/>
      <c r="E33" s="116">
        <f t="shared" si="5"/>
        <v>990000</v>
      </c>
      <c r="F33" s="77">
        <v>82500</v>
      </c>
      <c r="G33" s="77">
        <v>82500</v>
      </c>
      <c r="H33" s="77">
        <v>82500</v>
      </c>
      <c r="I33" s="77">
        <v>82500</v>
      </c>
      <c r="J33" s="77">
        <v>82500</v>
      </c>
      <c r="K33" s="77">
        <v>82500</v>
      </c>
      <c r="L33" s="77">
        <v>82500</v>
      </c>
      <c r="M33" s="77">
        <v>82500</v>
      </c>
      <c r="N33" s="77">
        <v>82500</v>
      </c>
      <c r="O33" s="77">
        <v>82500</v>
      </c>
      <c r="P33" s="77">
        <v>82500</v>
      </c>
      <c r="Q33" s="77">
        <v>82500</v>
      </c>
      <c r="R33" s="116">
        <f t="shared" si="6"/>
        <v>831086</v>
      </c>
      <c r="S33" s="77">
        <f t="shared" si="40"/>
        <v>55000</v>
      </c>
      <c r="T33" s="77">
        <f t="shared" si="40"/>
        <v>134400</v>
      </c>
      <c r="U33" s="77">
        <f t="shared" si="40"/>
        <v>55000</v>
      </c>
      <c r="V33" s="77">
        <f t="shared" si="40"/>
        <v>112610</v>
      </c>
      <c r="W33" s="77">
        <f t="shared" si="40"/>
        <v>55000</v>
      </c>
      <c r="X33" s="77">
        <f t="shared" si="40"/>
        <v>82616</v>
      </c>
      <c r="Y33" s="77">
        <f t="shared" si="40"/>
        <v>230290</v>
      </c>
      <c r="Z33" s="77">
        <f t="shared" si="40"/>
        <v>80700</v>
      </c>
      <c r="AA33" s="77">
        <f t="shared" si="40"/>
        <v>25470</v>
      </c>
      <c r="AB33" s="77">
        <f t="shared" si="40"/>
        <v>0</v>
      </c>
      <c r="AC33" s="77">
        <f t="shared" si="40"/>
        <v>0</v>
      </c>
      <c r="AD33" s="77">
        <f t="shared" si="40"/>
        <v>0</v>
      </c>
      <c r="AE33" s="116">
        <f t="shared" si="8"/>
        <v>158914</v>
      </c>
      <c r="AF33" s="77">
        <f t="shared" si="9"/>
        <v>27500</v>
      </c>
      <c r="AG33" s="77">
        <f t="shared" si="10"/>
        <v>-51900</v>
      </c>
      <c r="AH33" s="77">
        <f t="shared" si="11"/>
        <v>27500</v>
      </c>
      <c r="AI33" s="77">
        <f t="shared" si="12"/>
        <v>-30110</v>
      </c>
      <c r="AJ33" s="77">
        <f t="shared" si="13"/>
        <v>27500</v>
      </c>
      <c r="AK33" s="77">
        <f t="shared" si="14"/>
        <v>-116</v>
      </c>
      <c r="AL33" s="77">
        <f t="shared" si="15"/>
        <v>-147790</v>
      </c>
      <c r="AM33" s="77">
        <f t="shared" si="16"/>
        <v>1800</v>
      </c>
      <c r="AN33" s="77">
        <f t="shared" si="17"/>
        <v>57030</v>
      </c>
      <c r="AO33" s="77">
        <f t="shared" si="18"/>
        <v>82500</v>
      </c>
      <c r="AP33" s="77">
        <f t="shared" si="19"/>
        <v>82500</v>
      </c>
      <c r="AQ33" s="77">
        <f t="shared" si="20"/>
        <v>82500</v>
      </c>
      <c r="AS33" s="17"/>
    </row>
    <row r="34" spans="2:45" x14ac:dyDescent="0.35">
      <c r="B34" s="18" t="s">
        <v>33</v>
      </c>
      <c r="C34"/>
      <c r="D34"/>
      <c r="E34" s="116">
        <f t="shared" si="5"/>
        <v>369999.99999999994</v>
      </c>
      <c r="F34" s="77">
        <v>30833.333333333332</v>
      </c>
      <c r="G34" s="77">
        <v>30833.333333333332</v>
      </c>
      <c r="H34" s="77">
        <v>30833.333333333332</v>
      </c>
      <c r="I34" s="77">
        <v>30833.333333333332</v>
      </c>
      <c r="J34" s="77">
        <v>30833.333333333332</v>
      </c>
      <c r="K34" s="77">
        <v>30833.333333333332</v>
      </c>
      <c r="L34" s="77">
        <v>30833.333333333332</v>
      </c>
      <c r="M34" s="77">
        <v>30833.333333333332</v>
      </c>
      <c r="N34" s="77">
        <v>30833.333333333332</v>
      </c>
      <c r="O34" s="77">
        <v>30833.333333333332</v>
      </c>
      <c r="P34" s="77">
        <v>30833.333333333332</v>
      </c>
      <c r="Q34" s="77">
        <v>30833.333333333332</v>
      </c>
      <c r="R34" s="116">
        <f t="shared" si="6"/>
        <v>113304</v>
      </c>
      <c r="S34" s="77">
        <f t="shared" si="40"/>
        <v>0</v>
      </c>
      <c r="T34" s="77">
        <f t="shared" si="40"/>
        <v>16725</v>
      </c>
      <c r="U34" s="77">
        <f t="shared" si="40"/>
        <v>1710</v>
      </c>
      <c r="V34" s="77">
        <f t="shared" si="40"/>
        <v>2914</v>
      </c>
      <c r="W34" s="77">
        <f t="shared" si="40"/>
        <v>0</v>
      </c>
      <c r="X34" s="77">
        <f t="shared" si="40"/>
        <v>67194</v>
      </c>
      <c r="Y34" s="77">
        <f t="shared" si="40"/>
        <v>9668</v>
      </c>
      <c r="Z34" s="77">
        <f t="shared" si="40"/>
        <v>9691</v>
      </c>
      <c r="AA34" s="77">
        <f t="shared" si="40"/>
        <v>0</v>
      </c>
      <c r="AB34" s="77">
        <f t="shared" si="40"/>
        <v>5402</v>
      </c>
      <c r="AC34" s="77">
        <f t="shared" si="40"/>
        <v>0</v>
      </c>
      <c r="AD34" s="77">
        <f t="shared" si="40"/>
        <v>0</v>
      </c>
      <c r="AE34" s="116">
        <f t="shared" si="8"/>
        <v>256695.99999999994</v>
      </c>
      <c r="AF34" s="77">
        <f t="shared" si="9"/>
        <v>30833.333333333332</v>
      </c>
      <c r="AG34" s="77">
        <f t="shared" si="10"/>
        <v>14108.333333333332</v>
      </c>
      <c r="AH34" s="77">
        <f t="shared" si="11"/>
        <v>29123.333333333332</v>
      </c>
      <c r="AI34" s="77">
        <f t="shared" si="12"/>
        <v>27919.333333333332</v>
      </c>
      <c r="AJ34" s="77">
        <f t="shared" si="13"/>
        <v>30833.333333333332</v>
      </c>
      <c r="AK34" s="77">
        <f t="shared" si="14"/>
        <v>-36360.666666666672</v>
      </c>
      <c r="AL34" s="77">
        <f t="shared" si="15"/>
        <v>21165.333333333332</v>
      </c>
      <c r="AM34" s="77">
        <f t="shared" si="16"/>
        <v>21142.333333333332</v>
      </c>
      <c r="AN34" s="77">
        <f t="shared" si="17"/>
        <v>30833.333333333332</v>
      </c>
      <c r="AO34" s="77">
        <f t="shared" si="18"/>
        <v>25431.333333333332</v>
      </c>
      <c r="AP34" s="77">
        <f t="shared" si="19"/>
        <v>30833.333333333332</v>
      </c>
      <c r="AQ34" s="77">
        <f t="shared" si="20"/>
        <v>30833.333333333332</v>
      </c>
      <c r="AS34" s="17"/>
    </row>
    <row r="35" spans="2:45" x14ac:dyDescent="0.35">
      <c r="B35" s="18" t="s">
        <v>25</v>
      </c>
      <c r="C35"/>
      <c r="D35"/>
      <c r="E35" s="116">
        <f t="shared" si="5"/>
        <v>949999.99999999988</v>
      </c>
      <c r="F35" s="77">
        <v>79166.666666666672</v>
      </c>
      <c r="G35" s="77">
        <v>79166.666666666672</v>
      </c>
      <c r="H35" s="77">
        <v>79166.666666666672</v>
      </c>
      <c r="I35" s="77">
        <v>79166.666666666672</v>
      </c>
      <c r="J35" s="77">
        <v>79166.666666666672</v>
      </c>
      <c r="K35" s="77">
        <v>79166.666666666672</v>
      </c>
      <c r="L35" s="77">
        <v>79166.666666666672</v>
      </c>
      <c r="M35" s="77">
        <v>79166.666666666672</v>
      </c>
      <c r="N35" s="77">
        <v>79166.666666666672</v>
      </c>
      <c r="O35" s="77">
        <v>79166.666666666672</v>
      </c>
      <c r="P35" s="77">
        <v>79166.666666666672</v>
      </c>
      <c r="Q35" s="77">
        <v>79166.666666666672</v>
      </c>
      <c r="R35" s="116">
        <f t="shared" si="6"/>
        <v>614355</v>
      </c>
      <c r="S35" s="77">
        <f t="shared" si="40"/>
        <v>0</v>
      </c>
      <c r="T35" s="77">
        <f t="shared" si="40"/>
        <v>46556</v>
      </c>
      <c r="U35" s="77">
        <f t="shared" si="40"/>
        <v>124</v>
      </c>
      <c r="V35" s="77">
        <f t="shared" si="40"/>
        <v>85500</v>
      </c>
      <c r="W35" s="77">
        <f t="shared" si="40"/>
        <v>0</v>
      </c>
      <c r="X35" s="77">
        <f t="shared" si="40"/>
        <v>78448</v>
      </c>
      <c r="Y35" s="77">
        <f t="shared" si="40"/>
        <v>29700</v>
      </c>
      <c r="Z35" s="77">
        <f t="shared" si="40"/>
        <v>305074</v>
      </c>
      <c r="AA35" s="77">
        <f t="shared" si="40"/>
        <v>68953</v>
      </c>
      <c r="AB35" s="77">
        <f t="shared" si="40"/>
        <v>0</v>
      </c>
      <c r="AC35" s="77">
        <f t="shared" si="40"/>
        <v>0</v>
      </c>
      <c r="AD35" s="77">
        <f t="shared" si="40"/>
        <v>0</v>
      </c>
      <c r="AE35" s="116">
        <f t="shared" si="8"/>
        <v>335644.99999999988</v>
      </c>
      <c r="AF35" s="77">
        <f t="shared" si="9"/>
        <v>79166.666666666672</v>
      </c>
      <c r="AG35" s="77">
        <f t="shared" si="10"/>
        <v>32610.666666666672</v>
      </c>
      <c r="AH35" s="77">
        <f t="shared" si="11"/>
        <v>79042.666666666672</v>
      </c>
      <c r="AI35" s="77">
        <f t="shared" si="12"/>
        <v>-6333.3333333333285</v>
      </c>
      <c r="AJ35" s="77">
        <f t="shared" si="13"/>
        <v>79166.666666666672</v>
      </c>
      <c r="AK35" s="77">
        <f t="shared" si="14"/>
        <v>718.66666666667152</v>
      </c>
      <c r="AL35" s="77">
        <f t="shared" si="15"/>
        <v>49466.666666666672</v>
      </c>
      <c r="AM35" s="77">
        <f t="shared" si="16"/>
        <v>-225907.33333333331</v>
      </c>
      <c r="AN35" s="77">
        <f t="shared" si="17"/>
        <v>10213.666666666672</v>
      </c>
      <c r="AO35" s="77">
        <f t="shared" si="18"/>
        <v>79166.666666666672</v>
      </c>
      <c r="AP35" s="77">
        <f t="shared" si="19"/>
        <v>79166.666666666672</v>
      </c>
      <c r="AQ35" s="77">
        <f t="shared" si="20"/>
        <v>79166.666666666672</v>
      </c>
      <c r="AS35" s="17"/>
    </row>
    <row r="36" spans="2:45" x14ac:dyDescent="0.35">
      <c r="B36" s="18" t="s">
        <v>32</v>
      </c>
      <c r="C36"/>
      <c r="D36"/>
      <c r="E36" s="116">
        <f t="shared" si="5"/>
        <v>80000</v>
      </c>
      <c r="F36" s="77">
        <v>6666.666666666667</v>
      </c>
      <c r="G36" s="77">
        <v>6666.666666666667</v>
      </c>
      <c r="H36" s="77">
        <v>6666.666666666667</v>
      </c>
      <c r="I36" s="77">
        <v>6666.666666666667</v>
      </c>
      <c r="J36" s="77">
        <v>6666.666666666667</v>
      </c>
      <c r="K36" s="77">
        <v>6666.666666666667</v>
      </c>
      <c r="L36" s="77">
        <v>6666.666666666667</v>
      </c>
      <c r="M36" s="77">
        <v>6666.666666666667</v>
      </c>
      <c r="N36" s="77">
        <v>6666.666666666667</v>
      </c>
      <c r="O36" s="77">
        <v>6666.666666666667</v>
      </c>
      <c r="P36" s="77">
        <v>6666.666666666667</v>
      </c>
      <c r="Q36" s="77">
        <v>6666.666666666667</v>
      </c>
      <c r="R36" s="116">
        <f t="shared" si="6"/>
        <v>56466</v>
      </c>
      <c r="S36" s="77">
        <f t="shared" si="40"/>
        <v>0</v>
      </c>
      <c r="T36" s="77">
        <f t="shared" si="40"/>
        <v>1570</v>
      </c>
      <c r="U36" s="77">
        <f t="shared" si="40"/>
        <v>9600</v>
      </c>
      <c r="V36" s="77">
        <f t="shared" si="40"/>
        <v>2686</v>
      </c>
      <c r="W36" s="77">
        <f t="shared" si="40"/>
        <v>1231</v>
      </c>
      <c r="X36" s="77">
        <f t="shared" si="40"/>
        <v>454</v>
      </c>
      <c r="Y36" s="77">
        <f t="shared" si="40"/>
        <v>3099</v>
      </c>
      <c r="Z36" s="77">
        <f t="shared" si="40"/>
        <v>35594</v>
      </c>
      <c r="AA36" s="77">
        <f t="shared" si="40"/>
        <v>2232</v>
      </c>
      <c r="AB36" s="77">
        <f t="shared" si="40"/>
        <v>0</v>
      </c>
      <c r="AC36" s="77">
        <f t="shared" si="40"/>
        <v>0</v>
      </c>
      <c r="AD36" s="77">
        <f t="shared" si="40"/>
        <v>0</v>
      </c>
      <c r="AE36" s="116">
        <f t="shared" si="8"/>
        <v>23534</v>
      </c>
      <c r="AF36" s="77">
        <f t="shared" si="9"/>
        <v>6666.666666666667</v>
      </c>
      <c r="AG36" s="77">
        <f t="shared" si="10"/>
        <v>5096.666666666667</v>
      </c>
      <c r="AH36" s="77">
        <f t="shared" si="11"/>
        <v>-2933.333333333333</v>
      </c>
      <c r="AI36" s="77">
        <f t="shared" si="12"/>
        <v>3980.666666666667</v>
      </c>
      <c r="AJ36" s="77">
        <f t="shared" si="13"/>
        <v>5435.666666666667</v>
      </c>
      <c r="AK36" s="77">
        <f t="shared" si="14"/>
        <v>6212.666666666667</v>
      </c>
      <c r="AL36" s="77">
        <f t="shared" si="15"/>
        <v>3567.666666666667</v>
      </c>
      <c r="AM36" s="77">
        <f t="shared" si="16"/>
        <v>-28927.333333333332</v>
      </c>
      <c r="AN36" s="77">
        <f t="shared" si="17"/>
        <v>4434.666666666667</v>
      </c>
      <c r="AO36" s="77">
        <f t="shared" si="18"/>
        <v>6666.666666666667</v>
      </c>
      <c r="AP36" s="77">
        <f t="shared" si="19"/>
        <v>6666.666666666667</v>
      </c>
      <c r="AQ36" s="77">
        <f t="shared" si="20"/>
        <v>6666.666666666667</v>
      </c>
      <c r="AS36" s="17"/>
    </row>
    <row r="37" spans="2:45" x14ac:dyDescent="0.35">
      <c r="B37" s="18" t="s">
        <v>16</v>
      </c>
      <c r="C37"/>
      <c r="D37"/>
      <c r="E37" s="116">
        <f t="shared" si="5"/>
        <v>360000</v>
      </c>
      <c r="F37" s="77">
        <v>30000</v>
      </c>
      <c r="G37" s="77">
        <v>30000</v>
      </c>
      <c r="H37" s="77">
        <v>30000</v>
      </c>
      <c r="I37" s="77">
        <v>30000</v>
      </c>
      <c r="J37" s="77">
        <v>30000</v>
      </c>
      <c r="K37" s="77">
        <v>30000</v>
      </c>
      <c r="L37" s="77">
        <v>30000</v>
      </c>
      <c r="M37" s="77">
        <v>30000</v>
      </c>
      <c r="N37" s="77">
        <v>30000</v>
      </c>
      <c r="O37" s="77">
        <v>30000</v>
      </c>
      <c r="P37" s="77">
        <v>30000</v>
      </c>
      <c r="Q37" s="77">
        <v>30000</v>
      </c>
      <c r="R37" s="116">
        <f t="shared" si="6"/>
        <v>246308</v>
      </c>
      <c r="S37" s="77">
        <f t="shared" si="40"/>
        <v>0</v>
      </c>
      <c r="T37" s="77">
        <f t="shared" si="40"/>
        <v>42812</v>
      </c>
      <c r="U37" s="77">
        <f t="shared" si="40"/>
        <v>43924</v>
      </c>
      <c r="V37" s="77">
        <f t="shared" si="40"/>
        <v>28912</v>
      </c>
      <c r="W37" s="77">
        <f t="shared" si="40"/>
        <v>15012</v>
      </c>
      <c r="X37" s="77">
        <f t="shared" si="40"/>
        <v>28912</v>
      </c>
      <c r="Y37" s="77">
        <f t="shared" si="40"/>
        <v>28912</v>
      </c>
      <c r="Z37" s="77">
        <f t="shared" si="40"/>
        <v>13900</v>
      </c>
      <c r="AA37" s="77">
        <f t="shared" si="40"/>
        <v>28912</v>
      </c>
      <c r="AB37" s="77">
        <f t="shared" si="40"/>
        <v>15012</v>
      </c>
      <c r="AC37" s="77">
        <f t="shared" si="40"/>
        <v>0</v>
      </c>
      <c r="AD37" s="77">
        <f t="shared" si="40"/>
        <v>0</v>
      </c>
      <c r="AE37" s="116">
        <f t="shared" si="8"/>
        <v>113692</v>
      </c>
      <c r="AF37" s="77">
        <f t="shared" si="9"/>
        <v>30000</v>
      </c>
      <c r="AG37" s="77">
        <f t="shared" si="10"/>
        <v>-12812</v>
      </c>
      <c r="AH37" s="77">
        <f t="shared" si="11"/>
        <v>-13924</v>
      </c>
      <c r="AI37" s="77">
        <f t="shared" si="12"/>
        <v>1088</v>
      </c>
      <c r="AJ37" s="77">
        <f t="shared" si="13"/>
        <v>14988</v>
      </c>
      <c r="AK37" s="77">
        <f t="shared" si="14"/>
        <v>1088</v>
      </c>
      <c r="AL37" s="77">
        <f t="shared" si="15"/>
        <v>1088</v>
      </c>
      <c r="AM37" s="77">
        <f t="shared" si="16"/>
        <v>16100</v>
      </c>
      <c r="AN37" s="77">
        <f t="shared" si="17"/>
        <v>1088</v>
      </c>
      <c r="AO37" s="77">
        <f t="shared" si="18"/>
        <v>14988</v>
      </c>
      <c r="AP37" s="77">
        <f t="shared" si="19"/>
        <v>30000</v>
      </c>
      <c r="AQ37" s="77">
        <f t="shared" si="20"/>
        <v>30000</v>
      </c>
      <c r="AS37" s="17"/>
    </row>
    <row r="38" spans="2:45" x14ac:dyDescent="0.35">
      <c r="B38" s="53" t="s">
        <v>60</v>
      </c>
      <c r="C38" s="76"/>
      <c r="D38" s="76"/>
      <c r="E38" s="117">
        <f t="shared" si="5"/>
        <v>1995000</v>
      </c>
      <c r="F38" s="80">
        <f>SUM(F39:F42)</f>
        <v>166250</v>
      </c>
      <c r="G38" s="78">
        <f t="shared" ref="G38:Q38" si="41">SUM(G39:G42)</f>
        <v>166250</v>
      </c>
      <c r="H38" s="78">
        <f t="shared" si="41"/>
        <v>166250</v>
      </c>
      <c r="I38" s="78">
        <f t="shared" si="41"/>
        <v>166250</v>
      </c>
      <c r="J38" s="78">
        <f t="shared" si="41"/>
        <v>166250</v>
      </c>
      <c r="K38" s="78">
        <f t="shared" si="41"/>
        <v>166250</v>
      </c>
      <c r="L38" s="78">
        <f t="shared" si="41"/>
        <v>166250</v>
      </c>
      <c r="M38" s="78">
        <f t="shared" si="41"/>
        <v>166250</v>
      </c>
      <c r="N38" s="78">
        <f t="shared" si="41"/>
        <v>166250</v>
      </c>
      <c r="O38" s="78">
        <f t="shared" si="41"/>
        <v>166250</v>
      </c>
      <c r="P38" s="78">
        <f t="shared" si="41"/>
        <v>166250</v>
      </c>
      <c r="Q38" s="78">
        <f t="shared" si="41"/>
        <v>166250</v>
      </c>
      <c r="R38" s="117">
        <f t="shared" si="6"/>
        <v>1233617</v>
      </c>
      <c r="S38" s="78">
        <f t="shared" ref="S38:X38" si="42">SUM(S39:S42)</f>
        <v>1090</v>
      </c>
      <c r="T38" s="78">
        <f t="shared" si="42"/>
        <v>317543</v>
      </c>
      <c r="U38" s="78">
        <f t="shared" si="42"/>
        <v>269565</v>
      </c>
      <c r="V38" s="78">
        <f t="shared" si="42"/>
        <v>13480</v>
      </c>
      <c r="W38" s="78">
        <f t="shared" si="42"/>
        <v>15375</v>
      </c>
      <c r="X38" s="78">
        <f t="shared" si="42"/>
        <v>205650</v>
      </c>
      <c r="Y38" s="78">
        <f t="shared" ref="Y38" si="43">SUM(Y39:Y42)</f>
        <v>196206</v>
      </c>
      <c r="Z38" s="78">
        <f t="shared" ref="Z38:AD38" si="44">SUM(Z39:Z42)</f>
        <v>179452</v>
      </c>
      <c r="AA38" s="78">
        <f t="shared" si="44"/>
        <v>23976</v>
      </c>
      <c r="AB38" s="78">
        <f t="shared" si="44"/>
        <v>11280</v>
      </c>
      <c r="AC38" s="78">
        <f t="shared" si="44"/>
        <v>0</v>
      </c>
      <c r="AD38" s="78">
        <f t="shared" si="44"/>
        <v>0</v>
      </c>
      <c r="AE38" s="117">
        <f t="shared" si="8"/>
        <v>761383</v>
      </c>
      <c r="AF38" s="80">
        <f t="shared" si="9"/>
        <v>165160</v>
      </c>
      <c r="AG38" s="80">
        <f t="shared" si="10"/>
        <v>-151293</v>
      </c>
      <c r="AH38" s="78">
        <f t="shared" si="11"/>
        <v>-103315</v>
      </c>
      <c r="AI38" s="78">
        <f t="shared" si="12"/>
        <v>152770</v>
      </c>
      <c r="AJ38" s="78">
        <f t="shared" si="13"/>
        <v>150875</v>
      </c>
      <c r="AK38" s="78">
        <f t="shared" si="14"/>
        <v>-39400</v>
      </c>
      <c r="AL38" s="78">
        <f t="shared" si="15"/>
        <v>-29956</v>
      </c>
      <c r="AM38" s="78">
        <f t="shared" si="16"/>
        <v>-13202</v>
      </c>
      <c r="AN38" s="78">
        <f t="shared" si="17"/>
        <v>142274</v>
      </c>
      <c r="AO38" s="78">
        <f t="shared" si="18"/>
        <v>154970</v>
      </c>
      <c r="AP38" s="78">
        <f t="shared" si="19"/>
        <v>166250</v>
      </c>
      <c r="AQ38" s="78">
        <f t="shared" si="20"/>
        <v>166250</v>
      </c>
      <c r="AS38" s="56"/>
    </row>
    <row r="39" spans="2:45" x14ac:dyDescent="0.35">
      <c r="B39" s="18" t="s">
        <v>40</v>
      </c>
      <c r="C39"/>
      <c r="D39"/>
      <c r="E39" s="116">
        <f t="shared" si="5"/>
        <v>190000.00000000003</v>
      </c>
      <c r="F39" s="77">
        <v>15833.333333333334</v>
      </c>
      <c r="G39" s="77">
        <v>15833.333333333334</v>
      </c>
      <c r="H39" s="77">
        <v>15833.333333333334</v>
      </c>
      <c r="I39" s="77">
        <v>15833.333333333334</v>
      </c>
      <c r="J39" s="77">
        <v>15833.333333333334</v>
      </c>
      <c r="K39" s="77">
        <v>15833.333333333334</v>
      </c>
      <c r="L39" s="77">
        <v>15833.333333333334</v>
      </c>
      <c r="M39" s="77">
        <v>15833.333333333334</v>
      </c>
      <c r="N39" s="77">
        <v>15833.333333333334</v>
      </c>
      <c r="O39" s="77">
        <v>15833.333333333334</v>
      </c>
      <c r="P39" s="77">
        <v>15833.333333333334</v>
      </c>
      <c r="Q39" s="77">
        <v>15833.333333333334</v>
      </c>
      <c r="R39" s="116">
        <f t="shared" si="6"/>
        <v>122079</v>
      </c>
      <c r="S39" s="77">
        <f t="shared" ref="S39:AD44" si="45">IFERROR(SUMIFS(Skutecnost,Skupina,$B39,Rok,S$4,Mesic,S$5),0)</f>
        <v>0</v>
      </c>
      <c r="T39" s="77">
        <f t="shared" si="45"/>
        <v>51507</v>
      </c>
      <c r="U39" s="77">
        <f t="shared" si="45"/>
        <v>2465</v>
      </c>
      <c r="V39" s="77">
        <f t="shared" si="45"/>
        <v>11220</v>
      </c>
      <c r="W39" s="77">
        <f t="shared" si="45"/>
        <v>9605</v>
      </c>
      <c r="X39" s="77">
        <f t="shared" si="45"/>
        <v>0</v>
      </c>
      <c r="Y39" s="77">
        <f t="shared" si="45"/>
        <v>11645</v>
      </c>
      <c r="Z39" s="77">
        <f t="shared" si="45"/>
        <v>34455</v>
      </c>
      <c r="AA39" s="77">
        <f t="shared" si="45"/>
        <v>1182</v>
      </c>
      <c r="AB39" s="77">
        <f t="shared" si="45"/>
        <v>0</v>
      </c>
      <c r="AC39" s="77">
        <f t="shared" si="45"/>
        <v>0</v>
      </c>
      <c r="AD39" s="77">
        <f t="shared" si="45"/>
        <v>0</v>
      </c>
      <c r="AE39" s="116">
        <f t="shared" si="8"/>
        <v>67921.000000000029</v>
      </c>
      <c r="AF39" s="77">
        <f t="shared" si="9"/>
        <v>15833.333333333334</v>
      </c>
      <c r="AG39" s="77">
        <f t="shared" si="10"/>
        <v>-35673.666666666664</v>
      </c>
      <c r="AH39" s="77">
        <f t="shared" si="11"/>
        <v>13368.333333333334</v>
      </c>
      <c r="AI39" s="77">
        <f t="shared" si="12"/>
        <v>4613.3333333333339</v>
      </c>
      <c r="AJ39" s="77">
        <f t="shared" si="13"/>
        <v>6228.3333333333339</v>
      </c>
      <c r="AK39" s="77">
        <f t="shared" si="14"/>
        <v>15833.333333333334</v>
      </c>
      <c r="AL39" s="77">
        <f t="shared" si="15"/>
        <v>4188.3333333333339</v>
      </c>
      <c r="AM39" s="77">
        <f t="shared" si="16"/>
        <v>-18621.666666666664</v>
      </c>
      <c r="AN39" s="77">
        <f t="shared" si="17"/>
        <v>14651.333333333334</v>
      </c>
      <c r="AO39" s="77">
        <f t="shared" si="18"/>
        <v>15833.333333333334</v>
      </c>
      <c r="AP39" s="77">
        <f t="shared" si="19"/>
        <v>15833.333333333334</v>
      </c>
      <c r="AQ39" s="77">
        <f t="shared" si="20"/>
        <v>15833.333333333334</v>
      </c>
      <c r="AS39" s="17"/>
    </row>
    <row r="40" spans="2:45" x14ac:dyDescent="0.35">
      <c r="B40" s="18" t="s">
        <v>34</v>
      </c>
      <c r="C40"/>
      <c r="D40"/>
      <c r="E40" s="116">
        <f t="shared" si="5"/>
        <v>1550000.0000000002</v>
      </c>
      <c r="F40" s="77">
        <v>129166.66666666667</v>
      </c>
      <c r="G40" s="77">
        <v>129166.66666666667</v>
      </c>
      <c r="H40" s="77">
        <v>129166.66666666667</v>
      </c>
      <c r="I40" s="77">
        <v>129166.66666666667</v>
      </c>
      <c r="J40" s="77">
        <v>129166.66666666667</v>
      </c>
      <c r="K40" s="77">
        <v>129166.66666666667</v>
      </c>
      <c r="L40" s="77">
        <v>129166.66666666667</v>
      </c>
      <c r="M40" s="77">
        <v>129166.66666666667</v>
      </c>
      <c r="N40" s="77">
        <v>129166.66666666667</v>
      </c>
      <c r="O40" s="77">
        <v>129166.66666666667</v>
      </c>
      <c r="P40" s="77">
        <v>129166.66666666667</v>
      </c>
      <c r="Q40" s="77">
        <v>129166.66666666667</v>
      </c>
      <c r="R40" s="116">
        <f t="shared" si="6"/>
        <v>826647</v>
      </c>
      <c r="S40" s="77">
        <f t="shared" si="45"/>
        <v>0</v>
      </c>
      <c r="T40" s="77">
        <f t="shared" si="45"/>
        <v>211481</v>
      </c>
      <c r="U40" s="77">
        <f t="shared" si="45"/>
        <v>267100</v>
      </c>
      <c r="V40" s="77">
        <f t="shared" si="45"/>
        <v>0</v>
      </c>
      <c r="W40" s="77">
        <f t="shared" si="45"/>
        <v>0</v>
      </c>
      <c r="X40" s="77">
        <f t="shared" si="45"/>
        <v>166805</v>
      </c>
      <c r="Y40" s="77">
        <f t="shared" si="45"/>
        <v>181261</v>
      </c>
      <c r="Z40" s="77">
        <f t="shared" si="45"/>
        <v>0</v>
      </c>
      <c r="AA40" s="77">
        <f t="shared" si="45"/>
        <v>0</v>
      </c>
      <c r="AB40" s="77">
        <f t="shared" si="45"/>
        <v>0</v>
      </c>
      <c r="AC40" s="77">
        <f t="shared" si="45"/>
        <v>0</v>
      </c>
      <c r="AD40" s="77">
        <f t="shared" si="45"/>
        <v>0</v>
      </c>
      <c r="AE40" s="116">
        <f t="shared" si="8"/>
        <v>723353.00000000023</v>
      </c>
      <c r="AF40" s="77">
        <f t="shared" si="9"/>
        <v>129166.66666666667</v>
      </c>
      <c r="AG40" s="77">
        <f t="shared" si="10"/>
        <v>-82314.333333333328</v>
      </c>
      <c r="AH40" s="77">
        <f t="shared" si="11"/>
        <v>-137933.33333333331</v>
      </c>
      <c r="AI40" s="77">
        <f t="shared" si="12"/>
        <v>129166.66666666667</v>
      </c>
      <c r="AJ40" s="77">
        <f t="shared" si="13"/>
        <v>129166.66666666667</v>
      </c>
      <c r="AK40" s="77">
        <f t="shared" si="14"/>
        <v>-37638.333333333328</v>
      </c>
      <c r="AL40" s="77">
        <f t="shared" si="15"/>
        <v>-52094.333333333328</v>
      </c>
      <c r="AM40" s="77">
        <f t="shared" si="16"/>
        <v>129166.66666666667</v>
      </c>
      <c r="AN40" s="77">
        <f t="shared" si="17"/>
        <v>129166.66666666667</v>
      </c>
      <c r="AO40" s="77">
        <f t="shared" si="18"/>
        <v>129166.66666666667</v>
      </c>
      <c r="AP40" s="77">
        <f t="shared" si="19"/>
        <v>129166.66666666667</v>
      </c>
      <c r="AQ40" s="77">
        <f t="shared" si="20"/>
        <v>129166.66666666667</v>
      </c>
      <c r="AS40" s="17"/>
    </row>
    <row r="41" spans="2:45" x14ac:dyDescent="0.35">
      <c r="B41" s="18" t="s">
        <v>61</v>
      </c>
      <c r="C41"/>
      <c r="D41"/>
      <c r="E41" s="116">
        <f t="shared" si="5"/>
        <v>135000</v>
      </c>
      <c r="F41" s="77">
        <v>11250</v>
      </c>
      <c r="G41" s="77">
        <v>11250</v>
      </c>
      <c r="H41" s="77">
        <v>11250</v>
      </c>
      <c r="I41" s="77">
        <v>11250</v>
      </c>
      <c r="J41" s="77">
        <v>11250</v>
      </c>
      <c r="K41" s="77">
        <v>11250</v>
      </c>
      <c r="L41" s="77">
        <v>11250</v>
      </c>
      <c r="M41" s="77">
        <v>11250</v>
      </c>
      <c r="N41" s="77">
        <v>11250</v>
      </c>
      <c r="O41" s="77">
        <v>11250</v>
      </c>
      <c r="P41" s="77">
        <v>11250</v>
      </c>
      <c r="Q41" s="77">
        <v>11250</v>
      </c>
      <c r="R41" s="116">
        <f t="shared" si="6"/>
        <v>125066</v>
      </c>
      <c r="S41" s="77">
        <f t="shared" si="45"/>
        <v>1090</v>
      </c>
      <c r="T41" s="77">
        <f t="shared" si="45"/>
        <v>22055</v>
      </c>
      <c r="U41" s="77">
        <f t="shared" si="45"/>
        <v>0</v>
      </c>
      <c r="V41" s="77">
        <f t="shared" si="45"/>
        <v>2260</v>
      </c>
      <c r="W41" s="77">
        <f t="shared" si="45"/>
        <v>5770</v>
      </c>
      <c r="X41" s="77">
        <f t="shared" si="45"/>
        <v>5770</v>
      </c>
      <c r="Y41" s="77">
        <f t="shared" si="45"/>
        <v>3300</v>
      </c>
      <c r="Z41" s="77">
        <f t="shared" si="45"/>
        <v>50747</v>
      </c>
      <c r="AA41" s="77">
        <f t="shared" si="45"/>
        <v>22794</v>
      </c>
      <c r="AB41" s="77">
        <f t="shared" si="45"/>
        <v>11280</v>
      </c>
      <c r="AC41" s="77">
        <f t="shared" si="45"/>
        <v>0</v>
      </c>
      <c r="AD41" s="77">
        <f t="shared" si="45"/>
        <v>0</v>
      </c>
      <c r="AE41" s="116">
        <f t="shared" si="8"/>
        <v>9934</v>
      </c>
      <c r="AF41" s="77">
        <f t="shared" si="9"/>
        <v>10160</v>
      </c>
      <c r="AG41" s="77">
        <f t="shared" si="10"/>
        <v>-10805</v>
      </c>
      <c r="AH41" s="77">
        <f t="shared" si="11"/>
        <v>11250</v>
      </c>
      <c r="AI41" s="77">
        <f t="shared" si="12"/>
        <v>8990</v>
      </c>
      <c r="AJ41" s="77">
        <f t="shared" si="13"/>
        <v>5480</v>
      </c>
      <c r="AK41" s="77">
        <f t="shared" si="14"/>
        <v>5480</v>
      </c>
      <c r="AL41" s="77">
        <f t="shared" si="15"/>
        <v>7950</v>
      </c>
      <c r="AM41" s="77">
        <f t="shared" si="16"/>
        <v>-39497</v>
      </c>
      <c r="AN41" s="77">
        <f t="shared" si="17"/>
        <v>-11544</v>
      </c>
      <c r="AO41" s="77">
        <f t="shared" si="18"/>
        <v>-30</v>
      </c>
      <c r="AP41" s="77">
        <f t="shared" si="19"/>
        <v>11250</v>
      </c>
      <c r="AQ41" s="77">
        <f t="shared" si="20"/>
        <v>11250</v>
      </c>
      <c r="AS41" s="17"/>
    </row>
    <row r="42" spans="2:45" x14ac:dyDescent="0.35">
      <c r="B42" s="18" t="s">
        <v>43</v>
      </c>
      <c r="C42"/>
      <c r="D42"/>
      <c r="E42" s="116">
        <f t="shared" si="5"/>
        <v>120000</v>
      </c>
      <c r="F42" s="77">
        <v>10000</v>
      </c>
      <c r="G42" s="77">
        <v>10000</v>
      </c>
      <c r="H42" s="77">
        <v>10000</v>
      </c>
      <c r="I42" s="77">
        <v>10000</v>
      </c>
      <c r="J42" s="77">
        <v>10000</v>
      </c>
      <c r="K42" s="77">
        <v>10000</v>
      </c>
      <c r="L42" s="77">
        <v>10000</v>
      </c>
      <c r="M42" s="77">
        <v>10000</v>
      </c>
      <c r="N42" s="77">
        <v>10000</v>
      </c>
      <c r="O42" s="77">
        <v>10000</v>
      </c>
      <c r="P42" s="77">
        <v>10000</v>
      </c>
      <c r="Q42" s="77">
        <v>10000</v>
      </c>
      <c r="R42" s="116">
        <f t="shared" si="6"/>
        <v>159825</v>
      </c>
      <c r="S42" s="77">
        <f t="shared" si="45"/>
        <v>0</v>
      </c>
      <c r="T42" s="77">
        <f t="shared" si="45"/>
        <v>32500</v>
      </c>
      <c r="U42" s="77">
        <f t="shared" si="45"/>
        <v>0</v>
      </c>
      <c r="V42" s="77">
        <f t="shared" si="45"/>
        <v>0</v>
      </c>
      <c r="W42" s="77">
        <f t="shared" si="45"/>
        <v>0</v>
      </c>
      <c r="X42" s="77">
        <f t="shared" si="45"/>
        <v>33075</v>
      </c>
      <c r="Y42" s="77">
        <f t="shared" si="45"/>
        <v>0</v>
      </c>
      <c r="Z42" s="77">
        <f t="shared" si="45"/>
        <v>94250</v>
      </c>
      <c r="AA42" s="77">
        <f t="shared" si="45"/>
        <v>0</v>
      </c>
      <c r="AB42" s="77">
        <f t="shared" si="45"/>
        <v>0</v>
      </c>
      <c r="AC42" s="77">
        <f t="shared" si="45"/>
        <v>0</v>
      </c>
      <c r="AD42" s="77">
        <f t="shared" si="45"/>
        <v>0</v>
      </c>
      <c r="AE42" s="116">
        <f t="shared" si="8"/>
        <v>-39825</v>
      </c>
      <c r="AF42" s="77">
        <f t="shared" si="9"/>
        <v>10000</v>
      </c>
      <c r="AG42" s="77">
        <f t="shared" si="10"/>
        <v>-22500</v>
      </c>
      <c r="AH42" s="77">
        <f t="shared" si="11"/>
        <v>10000</v>
      </c>
      <c r="AI42" s="77">
        <f t="shared" si="12"/>
        <v>10000</v>
      </c>
      <c r="AJ42" s="77">
        <f t="shared" si="13"/>
        <v>10000</v>
      </c>
      <c r="AK42" s="77">
        <f t="shared" si="14"/>
        <v>-23075</v>
      </c>
      <c r="AL42" s="77">
        <f t="shared" si="15"/>
        <v>10000</v>
      </c>
      <c r="AM42" s="77">
        <f t="shared" si="16"/>
        <v>-84250</v>
      </c>
      <c r="AN42" s="77">
        <f t="shared" si="17"/>
        <v>10000</v>
      </c>
      <c r="AO42" s="77">
        <f t="shared" si="18"/>
        <v>10000</v>
      </c>
      <c r="AP42" s="77">
        <f t="shared" si="19"/>
        <v>10000</v>
      </c>
      <c r="AQ42" s="77">
        <f t="shared" si="20"/>
        <v>10000</v>
      </c>
      <c r="AS42" s="17"/>
    </row>
    <row r="43" spans="2:45" x14ac:dyDescent="0.35">
      <c r="B43" s="53" t="s">
        <v>106</v>
      </c>
      <c r="C43" s="76"/>
      <c r="D43" s="76"/>
      <c r="E43" s="117">
        <f t="shared" si="5"/>
        <v>60100000.000000007</v>
      </c>
      <c r="F43" s="78">
        <v>5008333.333333333</v>
      </c>
      <c r="G43" s="78">
        <v>5008333.333333333</v>
      </c>
      <c r="H43" s="78">
        <v>5008333.333333333</v>
      </c>
      <c r="I43" s="78">
        <v>5008333.333333333</v>
      </c>
      <c r="J43" s="78">
        <v>5008333.333333333</v>
      </c>
      <c r="K43" s="78">
        <v>5008333.333333333</v>
      </c>
      <c r="L43" s="78">
        <v>5008333.333333333</v>
      </c>
      <c r="M43" s="78">
        <v>5008333.333333333</v>
      </c>
      <c r="N43" s="78">
        <v>5008333.333333333</v>
      </c>
      <c r="O43" s="78">
        <v>5008333.333333333</v>
      </c>
      <c r="P43" s="78">
        <v>5008333.333333333</v>
      </c>
      <c r="Q43" s="78">
        <v>5008333.333333333</v>
      </c>
      <c r="R43" s="117">
        <f t="shared" si="6"/>
        <v>41252306</v>
      </c>
      <c r="S43" s="78">
        <f t="shared" si="45"/>
        <v>4522611</v>
      </c>
      <c r="T43" s="78">
        <f t="shared" si="45"/>
        <v>4730656</v>
      </c>
      <c r="U43" s="78">
        <f t="shared" si="45"/>
        <v>5144099</v>
      </c>
      <c r="V43" s="78">
        <f t="shared" si="45"/>
        <v>5315838</v>
      </c>
      <c r="W43" s="78">
        <f t="shared" si="45"/>
        <v>5111678</v>
      </c>
      <c r="X43" s="78">
        <f t="shared" si="45"/>
        <v>5606745</v>
      </c>
      <c r="Y43" s="78">
        <f t="shared" si="45"/>
        <v>5399081</v>
      </c>
      <c r="Z43" s="78">
        <f t="shared" si="45"/>
        <v>5420198</v>
      </c>
      <c r="AA43" s="78">
        <f t="shared" si="45"/>
        <v>1400</v>
      </c>
      <c r="AB43" s="78">
        <f t="shared" si="45"/>
        <v>0</v>
      </c>
      <c r="AC43" s="78">
        <f t="shared" si="45"/>
        <v>0</v>
      </c>
      <c r="AD43" s="78">
        <f t="shared" si="45"/>
        <v>0</v>
      </c>
      <c r="AE43" s="117">
        <f t="shared" si="8"/>
        <v>18847694.000000007</v>
      </c>
      <c r="AF43" s="80">
        <f t="shared" si="9"/>
        <v>485722.33333333302</v>
      </c>
      <c r="AG43" s="80">
        <f t="shared" si="10"/>
        <v>277677.33333333302</v>
      </c>
      <c r="AH43" s="78">
        <f t="shared" si="11"/>
        <v>-135765.66666666698</v>
      </c>
      <c r="AI43" s="78">
        <f t="shared" si="12"/>
        <v>-307504.66666666698</v>
      </c>
      <c r="AJ43" s="78">
        <f t="shared" si="13"/>
        <v>-103344.66666666698</v>
      </c>
      <c r="AK43" s="78">
        <f t="shared" si="14"/>
        <v>-598411.66666666698</v>
      </c>
      <c r="AL43" s="78">
        <f t="shared" si="15"/>
        <v>-390747.66666666698</v>
      </c>
      <c r="AM43" s="78">
        <f t="shared" si="16"/>
        <v>-411864.66666666698</v>
      </c>
      <c r="AN43" s="78">
        <f t="shared" si="17"/>
        <v>5006933.333333333</v>
      </c>
      <c r="AO43" s="78">
        <f t="shared" si="18"/>
        <v>5008333.333333333</v>
      </c>
      <c r="AP43" s="78">
        <f t="shared" si="19"/>
        <v>5008333.333333333</v>
      </c>
      <c r="AQ43" s="78">
        <f t="shared" si="20"/>
        <v>5008333.333333333</v>
      </c>
      <c r="AS43" s="56"/>
    </row>
    <row r="44" spans="2:45" x14ac:dyDescent="0.35">
      <c r="B44" s="53" t="s">
        <v>62</v>
      </c>
      <c r="C44" s="76"/>
      <c r="D44" s="76"/>
      <c r="E44" s="117">
        <f t="shared" si="5"/>
        <v>200000</v>
      </c>
      <c r="F44" s="80">
        <v>16667</v>
      </c>
      <c r="G44" s="78">
        <v>16667</v>
      </c>
      <c r="H44" s="78">
        <v>16667</v>
      </c>
      <c r="I44" s="78">
        <v>16667</v>
      </c>
      <c r="J44" s="78">
        <v>16667</v>
      </c>
      <c r="K44" s="78">
        <v>16667</v>
      </c>
      <c r="L44" s="78">
        <v>16667</v>
      </c>
      <c r="M44" s="78">
        <v>16667</v>
      </c>
      <c r="N44" s="78">
        <v>16667</v>
      </c>
      <c r="O44" s="78">
        <v>16667</v>
      </c>
      <c r="P44" s="78">
        <v>16667</v>
      </c>
      <c r="Q44" s="78">
        <v>16663</v>
      </c>
      <c r="R44" s="117">
        <f t="shared" si="6"/>
        <v>213275</v>
      </c>
      <c r="S44" s="78">
        <f t="shared" si="45"/>
        <v>64687</v>
      </c>
      <c r="T44" s="78">
        <f t="shared" si="45"/>
        <v>2304</v>
      </c>
      <c r="U44" s="78">
        <f t="shared" si="45"/>
        <v>1014</v>
      </c>
      <c r="V44" s="78">
        <f t="shared" si="45"/>
        <v>0</v>
      </c>
      <c r="W44" s="78">
        <f t="shared" si="45"/>
        <v>700</v>
      </c>
      <c r="X44" s="78">
        <f t="shared" si="45"/>
        <v>0</v>
      </c>
      <c r="Y44" s="78">
        <f t="shared" si="45"/>
        <v>2246</v>
      </c>
      <c r="Z44" s="78">
        <f t="shared" si="45"/>
        <v>129820</v>
      </c>
      <c r="AA44" s="78">
        <f t="shared" si="45"/>
        <v>8004</v>
      </c>
      <c r="AB44" s="78">
        <f t="shared" si="45"/>
        <v>4500</v>
      </c>
      <c r="AC44" s="78">
        <f t="shared" si="45"/>
        <v>0</v>
      </c>
      <c r="AD44" s="78">
        <f t="shared" si="45"/>
        <v>0</v>
      </c>
      <c r="AE44" s="117">
        <f t="shared" si="8"/>
        <v>-13275</v>
      </c>
      <c r="AF44" s="80">
        <f t="shared" si="9"/>
        <v>-48020</v>
      </c>
      <c r="AG44" s="80">
        <f t="shared" si="10"/>
        <v>14363</v>
      </c>
      <c r="AH44" s="78">
        <f t="shared" si="11"/>
        <v>15653</v>
      </c>
      <c r="AI44" s="78">
        <f t="shared" si="12"/>
        <v>16667</v>
      </c>
      <c r="AJ44" s="78">
        <f t="shared" si="13"/>
        <v>15967</v>
      </c>
      <c r="AK44" s="78">
        <f t="shared" si="14"/>
        <v>16667</v>
      </c>
      <c r="AL44" s="78">
        <f t="shared" si="15"/>
        <v>14421</v>
      </c>
      <c r="AM44" s="78">
        <f t="shared" si="16"/>
        <v>-113153</v>
      </c>
      <c r="AN44" s="78">
        <f t="shared" si="17"/>
        <v>8663</v>
      </c>
      <c r="AO44" s="78">
        <f t="shared" si="18"/>
        <v>12167</v>
      </c>
      <c r="AP44" s="78">
        <f t="shared" si="19"/>
        <v>16667</v>
      </c>
      <c r="AQ44" s="78">
        <f t="shared" si="20"/>
        <v>16663</v>
      </c>
      <c r="AS44" s="56"/>
    </row>
    <row r="45" spans="2:45" x14ac:dyDescent="0.35">
      <c r="B45" s="53" t="s">
        <v>63</v>
      </c>
      <c r="C45" s="76"/>
      <c r="D45" s="76"/>
      <c r="E45" s="117">
        <f t="shared" si="5"/>
        <v>1050000</v>
      </c>
      <c r="F45" s="80">
        <f>SUM(F46:F48)</f>
        <v>87500</v>
      </c>
      <c r="G45" s="78">
        <f t="shared" ref="G45:Q45" si="46">SUM(G46:G48)</f>
        <v>87500</v>
      </c>
      <c r="H45" s="78">
        <f t="shared" si="46"/>
        <v>87500</v>
      </c>
      <c r="I45" s="78">
        <f t="shared" si="46"/>
        <v>87500</v>
      </c>
      <c r="J45" s="78">
        <f t="shared" si="46"/>
        <v>87500</v>
      </c>
      <c r="K45" s="78">
        <f t="shared" si="46"/>
        <v>87500</v>
      </c>
      <c r="L45" s="78">
        <f t="shared" si="46"/>
        <v>87500</v>
      </c>
      <c r="M45" s="78">
        <f t="shared" si="46"/>
        <v>87500</v>
      </c>
      <c r="N45" s="78">
        <f t="shared" si="46"/>
        <v>87500</v>
      </c>
      <c r="O45" s="78">
        <f t="shared" si="46"/>
        <v>87500</v>
      </c>
      <c r="P45" s="78">
        <f t="shared" si="46"/>
        <v>87500</v>
      </c>
      <c r="Q45" s="78">
        <f t="shared" si="46"/>
        <v>87500</v>
      </c>
      <c r="R45" s="117">
        <f t="shared" si="6"/>
        <v>242352</v>
      </c>
      <c r="S45" s="78">
        <f t="shared" ref="S45:X45" si="47">SUM(S46:S48)</f>
        <v>9384</v>
      </c>
      <c r="T45" s="78">
        <f t="shared" si="47"/>
        <v>3866</v>
      </c>
      <c r="U45" s="78">
        <f t="shared" si="47"/>
        <v>29579</v>
      </c>
      <c r="V45" s="78">
        <f t="shared" si="47"/>
        <v>4630</v>
      </c>
      <c r="W45" s="78">
        <f t="shared" si="47"/>
        <v>19112</v>
      </c>
      <c r="X45" s="78">
        <f t="shared" si="47"/>
        <v>5465</v>
      </c>
      <c r="Y45" s="78">
        <f t="shared" ref="Y45" si="48">SUM(Y46:Y48)</f>
        <v>4132</v>
      </c>
      <c r="Z45" s="78">
        <f t="shared" ref="Z45:AD45" si="49">SUM(Z46:Z48)</f>
        <v>152902</v>
      </c>
      <c r="AA45" s="78">
        <f t="shared" si="49"/>
        <v>6667</v>
      </c>
      <c r="AB45" s="78">
        <f t="shared" si="49"/>
        <v>6615</v>
      </c>
      <c r="AC45" s="78">
        <f t="shared" si="49"/>
        <v>0</v>
      </c>
      <c r="AD45" s="78">
        <f t="shared" si="49"/>
        <v>0</v>
      </c>
      <c r="AE45" s="117">
        <f t="shared" si="8"/>
        <v>807648</v>
      </c>
      <c r="AF45" s="80">
        <f t="shared" si="9"/>
        <v>78116</v>
      </c>
      <c r="AG45" s="80">
        <f t="shared" si="10"/>
        <v>83634</v>
      </c>
      <c r="AH45" s="78">
        <f t="shared" si="11"/>
        <v>57921</v>
      </c>
      <c r="AI45" s="78">
        <f t="shared" si="12"/>
        <v>82870</v>
      </c>
      <c r="AJ45" s="78">
        <f t="shared" si="13"/>
        <v>68388</v>
      </c>
      <c r="AK45" s="78">
        <f t="shared" si="14"/>
        <v>82035</v>
      </c>
      <c r="AL45" s="78">
        <f t="shared" si="15"/>
        <v>83368</v>
      </c>
      <c r="AM45" s="78">
        <f t="shared" si="16"/>
        <v>-65402</v>
      </c>
      <c r="AN45" s="78">
        <f t="shared" si="17"/>
        <v>80833</v>
      </c>
      <c r="AO45" s="78">
        <f t="shared" si="18"/>
        <v>80885</v>
      </c>
      <c r="AP45" s="78">
        <f t="shared" si="19"/>
        <v>87500</v>
      </c>
      <c r="AQ45" s="78">
        <f t="shared" si="20"/>
        <v>87500</v>
      </c>
      <c r="AS45" s="56"/>
    </row>
    <row r="46" spans="2:45" x14ac:dyDescent="0.35">
      <c r="B46" s="18" t="s">
        <v>64</v>
      </c>
      <c r="C46"/>
      <c r="D46"/>
      <c r="E46" s="116">
        <f t="shared" si="5"/>
        <v>259999.99999999997</v>
      </c>
      <c r="F46" s="77">
        <v>21666.666666666668</v>
      </c>
      <c r="G46" s="77">
        <v>21666.666666666668</v>
      </c>
      <c r="H46" s="77">
        <v>21666.666666666668</v>
      </c>
      <c r="I46" s="77">
        <v>21666.666666666668</v>
      </c>
      <c r="J46" s="77">
        <v>21666.666666666668</v>
      </c>
      <c r="K46" s="77">
        <v>21666.666666666668</v>
      </c>
      <c r="L46" s="77">
        <v>21666.666666666668</v>
      </c>
      <c r="M46" s="77">
        <v>21666.666666666668</v>
      </c>
      <c r="N46" s="77">
        <v>21666.666666666668</v>
      </c>
      <c r="O46" s="77">
        <v>21666.666666666668</v>
      </c>
      <c r="P46" s="77">
        <v>21666.666666666668</v>
      </c>
      <c r="Q46" s="77">
        <v>21666.666666666668</v>
      </c>
      <c r="R46" s="116">
        <f t="shared" si="6"/>
        <v>228786</v>
      </c>
      <c r="S46" s="77">
        <f t="shared" ref="S46:AD50" si="50">IFERROR(SUMIFS(Skutecnost,Skupina,$B46,Rok,S$4,Mesic,S$5),0)</f>
        <v>3866</v>
      </c>
      <c r="T46" s="77">
        <f t="shared" si="50"/>
        <v>3866</v>
      </c>
      <c r="U46" s="77">
        <f t="shared" si="50"/>
        <v>29006</v>
      </c>
      <c r="V46" s="77">
        <f t="shared" si="50"/>
        <v>4084</v>
      </c>
      <c r="W46" s="77">
        <f t="shared" si="50"/>
        <v>19112</v>
      </c>
      <c r="X46" s="77">
        <f t="shared" si="50"/>
        <v>3866</v>
      </c>
      <c r="Y46" s="77">
        <f t="shared" si="50"/>
        <v>4132</v>
      </c>
      <c r="Z46" s="77">
        <f t="shared" si="50"/>
        <v>147760</v>
      </c>
      <c r="AA46" s="77">
        <f t="shared" si="50"/>
        <v>6479</v>
      </c>
      <c r="AB46" s="77">
        <f t="shared" si="50"/>
        <v>6615</v>
      </c>
      <c r="AC46" s="77">
        <f t="shared" si="50"/>
        <v>0</v>
      </c>
      <c r="AD46" s="77">
        <f t="shared" si="50"/>
        <v>0</v>
      </c>
      <c r="AE46" s="116">
        <f t="shared" si="8"/>
        <v>31213.999999999971</v>
      </c>
      <c r="AF46" s="77">
        <f t="shared" si="9"/>
        <v>17800.666666666668</v>
      </c>
      <c r="AG46" s="77">
        <f t="shared" si="10"/>
        <v>17800.666666666668</v>
      </c>
      <c r="AH46" s="77">
        <f t="shared" si="11"/>
        <v>-7339.3333333333321</v>
      </c>
      <c r="AI46" s="77">
        <f t="shared" si="12"/>
        <v>17582.666666666668</v>
      </c>
      <c r="AJ46" s="77">
        <f t="shared" si="13"/>
        <v>2554.6666666666679</v>
      </c>
      <c r="AK46" s="77">
        <f t="shared" si="14"/>
        <v>17800.666666666668</v>
      </c>
      <c r="AL46" s="77">
        <f t="shared" si="15"/>
        <v>17534.666666666668</v>
      </c>
      <c r="AM46" s="77">
        <f t="shared" si="16"/>
        <v>-126093.33333333333</v>
      </c>
      <c r="AN46" s="77">
        <f t="shared" si="17"/>
        <v>15187.666666666668</v>
      </c>
      <c r="AO46" s="77">
        <f t="shared" si="18"/>
        <v>15051.666666666668</v>
      </c>
      <c r="AP46" s="77">
        <f t="shared" si="19"/>
        <v>21666.666666666668</v>
      </c>
      <c r="AQ46" s="77">
        <f t="shared" si="20"/>
        <v>21666.666666666668</v>
      </c>
      <c r="AS46" s="17"/>
    </row>
    <row r="47" spans="2:45" x14ac:dyDescent="0.35">
      <c r="B47" s="18" t="s">
        <v>29</v>
      </c>
      <c r="C47"/>
      <c r="D47"/>
      <c r="E47" s="116">
        <f t="shared" si="5"/>
        <v>20000</v>
      </c>
      <c r="F47" s="77">
        <v>1666.6666666666667</v>
      </c>
      <c r="G47" s="77">
        <v>1666.6666666666667</v>
      </c>
      <c r="H47" s="77">
        <v>1666.6666666666667</v>
      </c>
      <c r="I47" s="77">
        <v>1666.6666666666667</v>
      </c>
      <c r="J47" s="77">
        <v>1666.6666666666667</v>
      </c>
      <c r="K47" s="77">
        <v>1666.6666666666667</v>
      </c>
      <c r="L47" s="77">
        <v>1666.6666666666667</v>
      </c>
      <c r="M47" s="77">
        <v>1666.6666666666667</v>
      </c>
      <c r="N47" s="77">
        <v>1666.6666666666667</v>
      </c>
      <c r="O47" s="77">
        <v>1666.6666666666667</v>
      </c>
      <c r="P47" s="77">
        <v>1666.6666666666667</v>
      </c>
      <c r="Q47" s="77">
        <v>1666.6666666666667</v>
      </c>
      <c r="R47" s="116">
        <f t="shared" si="6"/>
        <v>13566</v>
      </c>
      <c r="S47" s="77">
        <f t="shared" si="50"/>
        <v>5518</v>
      </c>
      <c r="T47" s="77">
        <f t="shared" si="50"/>
        <v>0</v>
      </c>
      <c r="U47" s="77">
        <f t="shared" si="50"/>
        <v>573</v>
      </c>
      <c r="V47" s="77">
        <f t="shared" si="50"/>
        <v>546</v>
      </c>
      <c r="W47" s="77">
        <f t="shared" si="50"/>
        <v>0</v>
      </c>
      <c r="X47" s="77">
        <f t="shared" si="50"/>
        <v>1599</v>
      </c>
      <c r="Y47" s="77">
        <f t="shared" si="50"/>
        <v>0</v>
      </c>
      <c r="Z47" s="77">
        <f t="shared" si="50"/>
        <v>5142</v>
      </c>
      <c r="AA47" s="77">
        <f t="shared" si="50"/>
        <v>188</v>
      </c>
      <c r="AB47" s="77">
        <f t="shared" si="50"/>
        <v>0</v>
      </c>
      <c r="AC47" s="77">
        <f t="shared" si="50"/>
        <v>0</v>
      </c>
      <c r="AD47" s="77">
        <f t="shared" si="50"/>
        <v>0</v>
      </c>
      <c r="AE47" s="116">
        <f t="shared" si="8"/>
        <v>6434</v>
      </c>
      <c r="AF47" s="77">
        <f t="shared" si="9"/>
        <v>-3851.333333333333</v>
      </c>
      <c r="AG47" s="77">
        <f t="shared" si="10"/>
        <v>1666.6666666666667</v>
      </c>
      <c r="AH47" s="77">
        <f t="shared" si="11"/>
        <v>1093.6666666666667</v>
      </c>
      <c r="AI47" s="77">
        <f t="shared" si="12"/>
        <v>1120.6666666666667</v>
      </c>
      <c r="AJ47" s="77">
        <f t="shared" si="13"/>
        <v>1666.6666666666667</v>
      </c>
      <c r="AK47" s="77">
        <f t="shared" si="14"/>
        <v>67.666666666666742</v>
      </c>
      <c r="AL47" s="77">
        <f t="shared" si="15"/>
        <v>1666.6666666666667</v>
      </c>
      <c r="AM47" s="77">
        <f t="shared" si="16"/>
        <v>-3475.333333333333</v>
      </c>
      <c r="AN47" s="77">
        <f t="shared" si="17"/>
        <v>1478.6666666666667</v>
      </c>
      <c r="AO47" s="77">
        <f t="shared" si="18"/>
        <v>1666.6666666666667</v>
      </c>
      <c r="AP47" s="77">
        <f t="shared" si="19"/>
        <v>1666.6666666666667</v>
      </c>
      <c r="AQ47" s="77">
        <f t="shared" si="20"/>
        <v>1666.6666666666667</v>
      </c>
      <c r="AS47" s="17"/>
    </row>
    <row r="48" spans="2:45" x14ac:dyDescent="0.35">
      <c r="B48" s="18" t="s">
        <v>65</v>
      </c>
      <c r="C48"/>
      <c r="D48"/>
      <c r="E48" s="118">
        <f t="shared" si="5"/>
        <v>769999.99999999988</v>
      </c>
      <c r="F48" s="79">
        <v>64166.666666666664</v>
      </c>
      <c r="G48" s="79">
        <v>64166.666666666664</v>
      </c>
      <c r="H48" s="79">
        <v>64166.666666666664</v>
      </c>
      <c r="I48" s="79">
        <v>64166.666666666664</v>
      </c>
      <c r="J48" s="79">
        <v>64166.666666666664</v>
      </c>
      <c r="K48" s="79">
        <v>64166.666666666664</v>
      </c>
      <c r="L48" s="79">
        <v>64166.666666666664</v>
      </c>
      <c r="M48" s="79">
        <v>64166.666666666664</v>
      </c>
      <c r="N48" s="79">
        <v>64166.666666666664</v>
      </c>
      <c r="O48" s="79">
        <v>64166.666666666664</v>
      </c>
      <c r="P48" s="79">
        <v>64166.666666666664</v>
      </c>
      <c r="Q48" s="79">
        <v>64166.666666666664</v>
      </c>
      <c r="R48" s="118">
        <f t="shared" si="6"/>
        <v>0</v>
      </c>
      <c r="S48" s="79">
        <f t="shared" si="50"/>
        <v>0</v>
      </c>
      <c r="T48" s="79">
        <f t="shared" si="50"/>
        <v>0</v>
      </c>
      <c r="U48" s="79">
        <f t="shared" si="50"/>
        <v>0</v>
      </c>
      <c r="V48" s="79">
        <f t="shared" si="50"/>
        <v>0</v>
      </c>
      <c r="W48" s="79">
        <f t="shared" si="50"/>
        <v>0</v>
      </c>
      <c r="X48" s="79">
        <f t="shared" si="50"/>
        <v>0</v>
      </c>
      <c r="Y48" s="79">
        <f t="shared" si="50"/>
        <v>0</v>
      </c>
      <c r="Z48" s="79">
        <f t="shared" si="50"/>
        <v>0</v>
      </c>
      <c r="AA48" s="79">
        <f t="shared" si="50"/>
        <v>0</v>
      </c>
      <c r="AB48" s="79">
        <f t="shared" si="50"/>
        <v>0</v>
      </c>
      <c r="AC48" s="79">
        <f t="shared" si="50"/>
        <v>0</v>
      </c>
      <c r="AD48" s="79">
        <f t="shared" si="50"/>
        <v>0</v>
      </c>
      <c r="AE48" s="118">
        <f t="shared" si="8"/>
        <v>769999.99999999988</v>
      </c>
      <c r="AF48" s="79">
        <f t="shared" si="9"/>
        <v>64166.666666666664</v>
      </c>
      <c r="AG48" s="79">
        <f t="shared" si="10"/>
        <v>64166.666666666664</v>
      </c>
      <c r="AH48" s="79">
        <f t="shared" si="11"/>
        <v>64166.666666666664</v>
      </c>
      <c r="AI48" s="79">
        <f t="shared" si="12"/>
        <v>64166.666666666664</v>
      </c>
      <c r="AJ48" s="79">
        <f t="shared" si="13"/>
        <v>64166.666666666664</v>
      </c>
      <c r="AK48" s="79">
        <f t="shared" si="14"/>
        <v>64166.666666666664</v>
      </c>
      <c r="AL48" s="79">
        <f t="shared" si="15"/>
        <v>64166.666666666664</v>
      </c>
      <c r="AM48" s="79">
        <f t="shared" si="16"/>
        <v>64166.666666666664</v>
      </c>
      <c r="AN48" s="79">
        <f t="shared" si="17"/>
        <v>64166.666666666664</v>
      </c>
      <c r="AO48" s="79">
        <f t="shared" si="18"/>
        <v>64166.666666666664</v>
      </c>
      <c r="AP48" s="79">
        <f t="shared" si="19"/>
        <v>64166.666666666664</v>
      </c>
      <c r="AQ48" s="79">
        <f t="shared" si="20"/>
        <v>64166.666666666664</v>
      </c>
      <c r="AS48" s="57"/>
    </row>
    <row r="49" spans="2:45" x14ac:dyDescent="0.35">
      <c r="B49" s="53" t="s">
        <v>66</v>
      </c>
      <c r="C49" s="76"/>
      <c r="D49" s="76"/>
      <c r="E49" s="117">
        <f t="shared" si="5"/>
        <v>9560020</v>
      </c>
      <c r="F49" s="80">
        <v>796668.33333333337</v>
      </c>
      <c r="G49" s="80">
        <v>796668.33333333337</v>
      </c>
      <c r="H49" s="80">
        <v>796668.33333333337</v>
      </c>
      <c r="I49" s="80">
        <v>796668.33333333337</v>
      </c>
      <c r="J49" s="80">
        <v>796668.33333333337</v>
      </c>
      <c r="K49" s="80">
        <v>796668.33333333337</v>
      </c>
      <c r="L49" s="80">
        <v>796668.33333333337</v>
      </c>
      <c r="M49" s="80">
        <v>796668.33333333337</v>
      </c>
      <c r="N49" s="80">
        <v>796668.33333333337</v>
      </c>
      <c r="O49" s="80">
        <v>796668.33333333337</v>
      </c>
      <c r="P49" s="80">
        <v>796668.33333333337</v>
      </c>
      <c r="Q49" s="80">
        <v>796668.33333333337</v>
      </c>
      <c r="R49" s="117">
        <f t="shared" si="6"/>
        <v>5663668</v>
      </c>
      <c r="S49" s="78">
        <f t="shared" si="50"/>
        <v>576046</v>
      </c>
      <c r="T49" s="78">
        <f t="shared" si="50"/>
        <v>576046</v>
      </c>
      <c r="U49" s="78">
        <f t="shared" si="50"/>
        <v>576045</v>
      </c>
      <c r="V49" s="78">
        <f t="shared" si="50"/>
        <v>578178</v>
      </c>
      <c r="W49" s="78">
        <f t="shared" si="50"/>
        <v>578177</v>
      </c>
      <c r="X49" s="78">
        <f t="shared" si="50"/>
        <v>580510</v>
      </c>
      <c r="Y49" s="78">
        <f t="shared" si="50"/>
        <v>547478</v>
      </c>
      <c r="Z49" s="78">
        <f t="shared" si="50"/>
        <v>547478</v>
      </c>
      <c r="AA49" s="78">
        <f t="shared" si="50"/>
        <v>545990</v>
      </c>
      <c r="AB49" s="78">
        <f t="shared" si="50"/>
        <v>557720</v>
      </c>
      <c r="AC49" s="78">
        <f t="shared" si="50"/>
        <v>0</v>
      </c>
      <c r="AD49" s="78">
        <f t="shared" si="50"/>
        <v>0</v>
      </c>
      <c r="AE49" s="117">
        <f t="shared" si="8"/>
        <v>3896352</v>
      </c>
      <c r="AF49" s="80">
        <f t="shared" si="9"/>
        <v>220622.33333333337</v>
      </c>
      <c r="AG49" s="80">
        <f t="shared" si="10"/>
        <v>220622.33333333337</v>
      </c>
      <c r="AH49" s="78">
        <f t="shared" si="11"/>
        <v>220623.33333333337</v>
      </c>
      <c r="AI49" s="78">
        <f t="shared" si="12"/>
        <v>218490.33333333337</v>
      </c>
      <c r="AJ49" s="78">
        <f t="shared" si="13"/>
        <v>218491.33333333337</v>
      </c>
      <c r="AK49" s="78">
        <f t="shared" si="14"/>
        <v>216158.33333333337</v>
      </c>
      <c r="AL49" s="78">
        <f t="shared" si="15"/>
        <v>249190.33333333337</v>
      </c>
      <c r="AM49" s="78">
        <f t="shared" si="16"/>
        <v>249190.33333333337</v>
      </c>
      <c r="AN49" s="78">
        <f t="shared" si="17"/>
        <v>250678.33333333337</v>
      </c>
      <c r="AO49" s="78">
        <f t="shared" si="18"/>
        <v>238948.33333333337</v>
      </c>
      <c r="AP49" s="78">
        <f t="shared" si="19"/>
        <v>796668.33333333337</v>
      </c>
      <c r="AQ49" s="78">
        <f t="shared" si="20"/>
        <v>796668.33333333337</v>
      </c>
      <c r="AS49" s="56"/>
    </row>
    <row r="50" spans="2:45" x14ac:dyDescent="0.35">
      <c r="B50" s="53" t="s">
        <v>67</v>
      </c>
      <c r="C50" s="76"/>
      <c r="D50" s="76"/>
      <c r="E50" s="117"/>
      <c r="F50" s="80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117">
        <f t="shared" si="6"/>
        <v>917074</v>
      </c>
      <c r="S50" s="78">
        <f t="shared" si="50"/>
        <v>44875</v>
      </c>
      <c r="T50" s="78">
        <f t="shared" si="50"/>
        <v>31466</v>
      </c>
      <c r="U50" s="78">
        <f t="shared" si="50"/>
        <v>86045</v>
      </c>
      <c r="V50" s="78">
        <f t="shared" si="50"/>
        <v>91960</v>
      </c>
      <c r="W50" s="78">
        <f t="shared" si="50"/>
        <v>125997</v>
      </c>
      <c r="X50" s="78">
        <f t="shared" si="50"/>
        <v>204743</v>
      </c>
      <c r="Y50" s="78">
        <f t="shared" si="50"/>
        <v>87222</v>
      </c>
      <c r="Z50" s="78">
        <f t="shared" si="50"/>
        <v>109605</v>
      </c>
      <c r="AA50" s="78">
        <f t="shared" si="50"/>
        <v>95307</v>
      </c>
      <c r="AB50" s="78">
        <f t="shared" si="50"/>
        <v>39854</v>
      </c>
      <c r="AC50" s="78">
        <f t="shared" si="50"/>
        <v>0</v>
      </c>
      <c r="AD50" s="78">
        <f t="shared" si="50"/>
        <v>0</v>
      </c>
      <c r="AE50" s="117">
        <f t="shared" si="8"/>
        <v>-917074</v>
      </c>
      <c r="AF50" s="80">
        <f t="shared" si="9"/>
        <v>-44875</v>
      </c>
      <c r="AG50" s="80">
        <f t="shared" si="10"/>
        <v>-31466</v>
      </c>
      <c r="AH50" s="78">
        <f t="shared" si="11"/>
        <v>-86045</v>
      </c>
      <c r="AI50" s="78">
        <f t="shared" si="12"/>
        <v>-91960</v>
      </c>
      <c r="AJ50" s="78">
        <f t="shared" si="13"/>
        <v>-125997</v>
      </c>
      <c r="AK50" s="78">
        <f t="shared" si="14"/>
        <v>-204743</v>
      </c>
      <c r="AL50" s="78">
        <f t="shared" si="15"/>
        <v>-87222</v>
      </c>
      <c r="AM50" s="78">
        <f t="shared" si="16"/>
        <v>-109605</v>
      </c>
      <c r="AN50" s="78">
        <f t="shared" si="17"/>
        <v>-95307</v>
      </c>
      <c r="AO50" s="78">
        <f t="shared" si="18"/>
        <v>-39854</v>
      </c>
      <c r="AP50" s="78">
        <f t="shared" si="19"/>
        <v>0</v>
      </c>
      <c r="AQ50" s="78">
        <f t="shared" si="20"/>
        <v>0</v>
      </c>
      <c r="AS50" s="56"/>
    </row>
    <row r="51" spans="2:45" x14ac:dyDescent="0.35">
      <c r="B51" s="52" t="s">
        <v>69</v>
      </c>
      <c r="C51" s="75"/>
      <c r="D51" s="75"/>
      <c r="E51" s="119">
        <f t="shared" si="5"/>
        <v>82534020</v>
      </c>
      <c r="F51" s="81">
        <f t="shared" ref="F51:Q51" si="51">F50+F49+F45+F44+F43+F38+F27+F24+F23+F19+F15+F7</f>
        <v>6877835.333333334</v>
      </c>
      <c r="G51" s="81">
        <f t="shared" si="51"/>
        <v>6877835.333333334</v>
      </c>
      <c r="H51" s="81">
        <f t="shared" si="51"/>
        <v>6877835.333333334</v>
      </c>
      <c r="I51" s="81">
        <f t="shared" si="51"/>
        <v>6877835.333333334</v>
      </c>
      <c r="J51" s="81">
        <f t="shared" si="51"/>
        <v>6877835.333333334</v>
      </c>
      <c r="K51" s="81">
        <f t="shared" si="51"/>
        <v>6877835.333333334</v>
      </c>
      <c r="L51" s="81">
        <f t="shared" si="51"/>
        <v>6877835.333333334</v>
      </c>
      <c r="M51" s="81">
        <f t="shared" si="51"/>
        <v>6877835.333333334</v>
      </c>
      <c r="N51" s="81">
        <f t="shared" si="51"/>
        <v>6877835.333333334</v>
      </c>
      <c r="O51" s="81">
        <f t="shared" si="51"/>
        <v>6877835.333333334</v>
      </c>
      <c r="P51" s="81">
        <f t="shared" si="51"/>
        <v>6877835.333333334</v>
      </c>
      <c r="Q51" s="81">
        <f t="shared" si="51"/>
        <v>6877831.333333334</v>
      </c>
      <c r="R51" s="119">
        <f t="shared" si="6"/>
        <v>56557936.399999999</v>
      </c>
      <c r="S51" s="81">
        <f t="shared" ref="S51:X51" si="52">S50+S49+S45+S44+S43+S38+S27+S24+S23+S19+S15+S7</f>
        <v>5662598.4000000004</v>
      </c>
      <c r="T51" s="81">
        <f t="shared" si="52"/>
        <v>6376172</v>
      </c>
      <c r="U51" s="81">
        <f t="shared" si="52"/>
        <v>6697298.4000000004</v>
      </c>
      <c r="V51" s="81">
        <f t="shared" si="52"/>
        <v>6824099.7999999998</v>
      </c>
      <c r="W51" s="81">
        <f t="shared" si="52"/>
        <v>6339202</v>
      </c>
      <c r="X51" s="81">
        <f t="shared" si="52"/>
        <v>7540299</v>
      </c>
      <c r="Y51" s="81">
        <f t="shared" ref="Y51" si="53">Y50+Y49+Y45+Y44+Y43+Y38+Y27+Y24+Y23+Y19+Y15+Y7</f>
        <v>7111843</v>
      </c>
      <c r="Z51" s="81">
        <f t="shared" ref="Z51:AD51" si="54">Z50+Z49+Z45+Z44+Z43+Z38+Z27+Z24+Z23+Z19+Z15+Z7</f>
        <v>8045299</v>
      </c>
      <c r="AA51" s="81">
        <f t="shared" si="54"/>
        <v>1204646.8</v>
      </c>
      <c r="AB51" s="81">
        <f t="shared" si="54"/>
        <v>756478</v>
      </c>
      <c r="AC51" s="81">
        <f t="shared" si="54"/>
        <v>0</v>
      </c>
      <c r="AD51" s="81">
        <f t="shared" si="54"/>
        <v>0</v>
      </c>
      <c r="AE51" s="119">
        <f t="shared" si="8"/>
        <v>25976083.600000001</v>
      </c>
      <c r="AF51" s="85">
        <f t="shared" si="9"/>
        <v>1215236.9333333336</v>
      </c>
      <c r="AG51" s="85">
        <f t="shared" si="10"/>
        <v>501663.33333333395</v>
      </c>
      <c r="AH51" s="81">
        <f t="shared" si="11"/>
        <v>180536.93333333358</v>
      </c>
      <c r="AI51" s="81">
        <f t="shared" si="12"/>
        <v>53735.53333333414</v>
      </c>
      <c r="AJ51" s="81">
        <f t="shared" si="13"/>
        <v>538633.33333333395</v>
      </c>
      <c r="AK51" s="81">
        <f t="shared" si="14"/>
        <v>-662463.66666666605</v>
      </c>
      <c r="AL51" s="81">
        <f t="shared" si="15"/>
        <v>-234007.66666666605</v>
      </c>
      <c r="AM51" s="81">
        <f t="shared" si="16"/>
        <v>-1167463.666666666</v>
      </c>
      <c r="AN51" s="81">
        <f t="shared" si="17"/>
        <v>5673188.5333333341</v>
      </c>
      <c r="AO51" s="81">
        <f t="shared" si="18"/>
        <v>6121357.333333334</v>
      </c>
      <c r="AP51" s="81">
        <f t="shared" si="19"/>
        <v>6877835.333333334</v>
      </c>
      <c r="AQ51" s="81">
        <f t="shared" si="20"/>
        <v>6877831.333333334</v>
      </c>
      <c r="AS51" s="58"/>
    </row>
    <row r="52" spans="2:45" x14ac:dyDescent="0.35">
      <c r="B52" s="60"/>
      <c r="C52" s="82"/>
      <c r="D52" s="82"/>
      <c r="E52" s="120"/>
      <c r="F52" s="83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120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120">
        <f t="shared" si="8"/>
        <v>0</v>
      </c>
      <c r="AF52" s="83">
        <f t="shared" si="9"/>
        <v>0</v>
      </c>
      <c r="AG52" s="83">
        <f t="shared" si="10"/>
        <v>0</v>
      </c>
      <c r="AH52" s="84">
        <f t="shared" si="11"/>
        <v>0</v>
      </c>
      <c r="AI52" s="84">
        <f t="shared" si="12"/>
        <v>0</v>
      </c>
      <c r="AJ52" s="84">
        <f t="shared" si="13"/>
        <v>0</v>
      </c>
      <c r="AK52" s="84">
        <f t="shared" si="14"/>
        <v>0</v>
      </c>
      <c r="AL52" s="84">
        <f t="shared" si="15"/>
        <v>0</v>
      </c>
      <c r="AM52" s="84">
        <f t="shared" si="16"/>
        <v>0</v>
      </c>
      <c r="AN52" s="84">
        <f t="shared" si="17"/>
        <v>0</v>
      </c>
      <c r="AO52" s="84">
        <f t="shared" si="18"/>
        <v>0</v>
      </c>
      <c r="AP52" s="84">
        <f t="shared" si="19"/>
        <v>0</v>
      </c>
      <c r="AQ52" s="84">
        <f t="shared" si="20"/>
        <v>0</v>
      </c>
      <c r="AS52" s="98"/>
    </row>
    <row r="53" spans="2:45" x14ac:dyDescent="0.35">
      <c r="B53" s="52" t="s">
        <v>70</v>
      </c>
      <c r="C53" s="75"/>
      <c r="D53" s="75"/>
      <c r="E53" s="119"/>
      <c r="F53" s="8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119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119">
        <f t="shared" si="8"/>
        <v>0</v>
      </c>
      <c r="AF53" s="85">
        <f t="shared" si="9"/>
        <v>0</v>
      </c>
      <c r="AG53" s="85">
        <f t="shared" si="10"/>
        <v>0</v>
      </c>
      <c r="AH53" s="75">
        <f t="shared" si="11"/>
        <v>0</v>
      </c>
      <c r="AI53" s="75">
        <f t="shared" si="12"/>
        <v>0</v>
      </c>
      <c r="AJ53" s="75">
        <f t="shared" si="13"/>
        <v>0</v>
      </c>
      <c r="AK53" s="75">
        <f t="shared" si="14"/>
        <v>0</v>
      </c>
      <c r="AL53" s="75">
        <f t="shared" si="15"/>
        <v>0</v>
      </c>
      <c r="AM53" s="75">
        <f t="shared" si="16"/>
        <v>0</v>
      </c>
      <c r="AN53" s="75">
        <f t="shared" si="17"/>
        <v>0</v>
      </c>
      <c r="AO53" s="75">
        <f t="shared" si="18"/>
        <v>0</v>
      </c>
      <c r="AP53" s="75">
        <f t="shared" si="19"/>
        <v>0</v>
      </c>
      <c r="AQ53" s="75">
        <f t="shared" si="20"/>
        <v>0</v>
      </c>
      <c r="AS53" s="58"/>
    </row>
    <row r="54" spans="2:45" x14ac:dyDescent="0.35">
      <c r="B54" s="53" t="s">
        <v>51</v>
      </c>
      <c r="C54" s="76"/>
      <c r="D54" s="76"/>
      <c r="E54" s="117">
        <f>SUM(F54:Q54)</f>
        <v>52215000</v>
      </c>
      <c r="F54" s="80">
        <f t="shared" ref="F54:Q54" si="55">SUM(F55:F63)</f>
        <v>4351250</v>
      </c>
      <c r="G54" s="78">
        <f t="shared" si="55"/>
        <v>4351250</v>
      </c>
      <c r="H54" s="78">
        <f t="shared" si="55"/>
        <v>4351250</v>
      </c>
      <c r="I54" s="78">
        <f t="shared" si="55"/>
        <v>4351250</v>
      </c>
      <c r="J54" s="78">
        <f t="shared" si="55"/>
        <v>4351250</v>
      </c>
      <c r="K54" s="78">
        <f t="shared" si="55"/>
        <v>4351250</v>
      </c>
      <c r="L54" s="78">
        <f t="shared" si="55"/>
        <v>4351250</v>
      </c>
      <c r="M54" s="78">
        <f t="shared" si="55"/>
        <v>4351250</v>
      </c>
      <c r="N54" s="78">
        <f t="shared" si="55"/>
        <v>4351250</v>
      </c>
      <c r="O54" s="78">
        <f t="shared" si="55"/>
        <v>4351250</v>
      </c>
      <c r="P54" s="78">
        <f t="shared" si="55"/>
        <v>4351250</v>
      </c>
      <c r="Q54" s="78">
        <f t="shared" si="55"/>
        <v>4351250</v>
      </c>
      <c r="R54" s="117">
        <f t="shared" si="6"/>
        <v>54441155.569999993</v>
      </c>
      <c r="S54" s="78">
        <f t="shared" ref="S54:X54" si="56">SUM(S55:S63)</f>
        <v>4334784.4000000004</v>
      </c>
      <c r="T54" s="78">
        <f t="shared" si="56"/>
        <v>4812873.1899999995</v>
      </c>
      <c r="U54" s="78">
        <f t="shared" si="56"/>
        <v>8464405.5</v>
      </c>
      <c r="V54" s="78">
        <f t="shared" si="56"/>
        <v>5546161.7300000004</v>
      </c>
      <c r="W54" s="78">
        <f t="shared" si="56"/>
        <v>6217008.4000000004</v>
      </c>
      <c r="X54" s="78">
        <f t="shared" si="56"/>
        <v>4578988.47</v>
      </c>
      <c r="Y54" s="78">
        <f t="shared" ref="Y54" si="57">SUM(Y55:Y63)</f>
        <v>9367020.629999999</v>
      </c>
      <c r="Z54" s="78">
        <f t="shared" ref="Z54:AD54" si="58">SUM(Z55:Z63)</f>
        <v>6947545.4299999997</v>
      </c>
      <c r="AA54" s="78">
        <f t="shared" si="58"/>
        <v>4137117.11</v>
      </c>
      <c r="AB54" s="78">
        <f t="shared" si="58"/>
        <v>35250.71</v>
      </c>
      <c r="AC54" s="78">
        <f t="shared" si="58"/>
        <v>0</v>
      </c>
      <c r="AD54" s="78">
        <f t="shared" si="58"/>
        <v>0</v>
      </c>
      <c r="AE54" s="117">
        <f t="shared" si="8"/>
        <v>-2226155.5699999928</v>
      </c>
      <c r="AF54" s="80">
        <f t="shared" si="9"/>
        <v>16465.599999999627</v>
      </c>
      <c r="AG54" s="80">
        <f t="shared" si="10"/>
        <v>-461623.18999999948</v>
      </c>
      <c r="AH54" s="78">
        <f t="shared" si="11"/>
        <v>-4113155.5</v>
      </c>
      <c r="AI54" s="78">
        <f t="shared" si="12"/>
        <v>-1194911.7300000004</v>
      </c>
      <c r="AJ54" s="78">
        <f t="shared" si="13"/>
        <v>-1865758.4000000004</v>
      </c>
      <c r="AK54" s="78">
        <f t="shared" si="14"/>
        <v>-227738.46999999974</v>
      </c>
      <c r="AL54" s="78">
        <f t="shared" si="15"/>
        <v>-5015770.629999999</v>
      </c>
      <c r="AM54" s="78">
        <f t="shared" si="16"/>
        <v>-2596295.4299999997</v>
      </c>
      <c r="AN54" s="78">
        <f t="shared" si="17"/>
        <v>214132.89000000013</v>
      </c>
      <c r="AO54" s="78">
        <f t="shared" si="18"/>
        <v>4315999.29</v>
      </c>
      <c r="AP54" s="78">
        <f t="shared" si="19"/>
        <v>4351250</v>
      </c>
      <c r="AQ54" s="78">
        <f t="shared" si="20"/>
        <v>4351250</v>
      </c>
      <c r="AS54" s="56"/>
    </row>
    <row r="55" spans="2:45" x14ac:dyDescent="0.35">
      <c r="B55" s="18" t="s">
        <v>71</v>
      </c>
      <c r="C55"/>
      <c r="D55"/>
      <c r="E55" s="116">
        <f t="shared" si="5"/>
        <v>0</v>
      </c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116">
        <f t="shared" si="6"/>
        <v>25805</v>
      </c>
      <c r="S55" s="77">
        <f t="shared" ref="S55:AD62" si="59">IFERROR(SUMIFS(Skutecnost,Skupina,$B55,Rok,S$4,Mesic,S$5),0)</f>
        <v>0</v>
      </c>
      <c r="T55" s="77">
        <f t="shared" si="59"/>
        <v>0</v>
      </c>
      <c r="U55" s="77">
        <f t="shared" si="59"/>
        <v>0</v>
      </c>
      <c r="V55" s="77">
        <f t="shared" si="59"/>
        <v>0</v>
      </c>
      <c r="W55" s="77">
        <f t="shared" si="59"/>
        <v>1125</v>
      </c>
      <c r="X55" s="77">
        <f t="shared" si="59"/>
        <v>6850</v>
      </c>
      <c r="Y55" s="77">
        <f t="shared" si="59"/>
        <v>9080</v>
      </c>
      <c r="Z55" s="77">
        <f t="shared" si="59"/>
        <v>8750</v>
      </c>
      <c r="AA55" s="77">
        <f t="shared" si="59"/>
        <v>0</v>
      </c>
      <c r="AB55" s="77">
        <f t="shared" si="59"/>
        <v>0</v>
      </c>
      <c r="AC55" s="77">
        <f t="shared" si="59"/>
        <v>0</v>
      </c>
      <c r="AD55" s="77">
        <f t="shared" si="59"/>
        <v>0</v>
      </c>
      <c r="AE55" s="116">
        <f t="shared" si="8"/>
        <v>-25805</v>
      </c>
      <c r="AF55" s="77">
        <f t="shared" si="9"/>
        <v>0</v>
      </c>
      <c r="AG55" s="77">
        <f t="shared" si="10"/>
        <v>0</v>
      </c>
      <c r="AH55" s="77">
        <f t="shared" si="11"/>
        <v>0</v>
      </c>
      <c r="AI55" s="77">
        <f t="shared" si="12"/>
        <v>0</v>
      </c>
      <c r="AJ55" s="77">
        <f t="shared" si="13"/>
        <v>-1125</v>
      </c>
      <c r="AK55" s="77">
        <f t="shared" si="14"/>
        <v>-6850</v>
      </c>
      <c r="AL55" s="77">
        <f t="shared" si="15"/>
        <v>-9080</v>
      </c>
      <c r="AM55" s="77">
        <f t="shared" si="16"/>
        <v>-8750</v>
      </c>
      <c r="AN55" s="77">
        <f t="shared" si="17"/>
        <v>0</v>
      </c>
      <c r="AO55" s="77">
        <f t="shared" si="18"/>
        <v>0</v>
      </c>
      <c r="AP55" s="77">
        <f t="shared" si="19"/>
        <v>0</v>
      </c>
      <c r="AQ55" s="77">
        <f t="shared" si="20"/>
        <v>0</v>
      </c>
      <c r="AS55" s="17"/>
    </row>
    <row r="56" spans="2:45" x14ac:dyDescent="0.35">
      <c r="B56" s="18" t="s">
        <v>30</v>
      </c>
      <c r="C56"/>
      <c r="D56"/>
      <c r="E56" s="116">
        <f t="shared" si="5"/>
        <v>184999.99999999997</v>
      </c>
      <c r="F56" s="77">
        <v>15416.666666666666</v>
      </c>
      <c r="G56" s="77">
        <v>15416.666666666666</v>
      </c>
      <c r="H56" s="77">
        <v>15416.666666666666</v>
      </c>
      <c r="I56" s="77">
        <v>15416.666666666666</v>
      </c>
      <c r="J56" s="77">
        <v>15416.666666666666</v>
      </c>
      <c r="K56" s="77">
        <v>15416.666666666666</v>
      </c>
      <c r="L56" s="77">
        <v>15416.666666666666</v>
      </c>
      <c r="M56" s="77">
        <v>15416.666666666666</v>
      </c>
      <c r="N56" s="77">
        <v>15416.666666666666</v>
      </c>
      <c r="O56" s="77">
        <v>15416.666666666666</v>
      </c>
      <c r="P56" s="77">
        <v>15416.666666666666</v>
      </c>
      <c r="Q56" s="77">
        <v>15416.666666666666</v>
      </c>
      <c r="R56" s="116">
        <f t="shared" si="6"/>
        <v>125645</v>
      </c>
      <c r="S56" s="77">
        <f t="shared" si="59"/>
        <v>4635</v>
      </c>
      <c r="T56" s="77">
        <f t="shared" si="59"/>
        <v>5922</v>
      </c>
      <c r="U56" s="77">
        <f t="shared" si="59"/>
        <v>6331</v>
      </c>
      <c r="V56" s="77">
        <f t="shared" si="59"/>
        <v>8791</v>
      </c>
      <c r="W56" s="77">
        <f t="shared" si="59"/>
        <v>13760</v>
      </c>
      <c r="X56" s="77">
        <f t="shared" si="59"/>
        <v>31031</v>
      </c>
      <c r="Y56" s="77">
        <f t="shared" si="59"/>
        <v>11253</v>
      </c>
      <c r="Z56" s="77">
        <f t="shared" si="59"/>
        <v>13579</v>
      </c>
      <c r="AA56" s="77">
        <f t="shared" si="59"/>
        <v>23971</v>
      </c>
      <c r="AB56" s="77">
        <f t="shared" si="59"/>
        <v>6372</v>
      </c>
      <c r="AC56" s="77">
        <f t="shared" si="59"/>
        <v>0</v>
      </c>
      <c r="AD56" s="77">
        <f t="shared" si="59"/>
        <v>0</v>
      </c>
      <c r="AE56" s="116">
        <f t="shared" si="8"/>
        <v>59354.999999999971</v>
      </c>
      <c r="AF56" s="77">
        <f t="shared" si="9"/>
        <v>10781.666666666666</v>
      </c>
      <c r="AG56" s="77">
        <f t="shared" si="10"/>
        <v>9494.6666666666661</v>
      </c>
      <c r="AH56" s="77">
        <f t="shared" si="11"/>
        <v>9085.6666666666661</v>
      </c>
      <c r="AI56" s="77">
        <f t="shared" si="12"/>
        <v>6625.6666666666661</v>
      </c>
      <c r="AJ56" s="77">
        <f t="shared" si="13"/>
        <v>1656.6666666666661</v>
      </c>
      <c r="AK56" s="77">
        <f t="shared" si="14"/>
        <v>-15614.333333333334</v>
      </c>
      <c r="AL56" s="77">
        <f t="shared" si="15"/>
        <v>4163.6666666666661</v>
      </c>
      <c r="AM56" s="77">
        <f t="shared" si="16"/>
        <v>1837.6666666666661</v>
      </c>
      <c r="AN56" s="77">
        <f t="shared" si="17"/>
        <v>-8554.3333333333339</v>
      </c>
      <c r="AO56" s="77">
        <f t="shared" si="18"/>
        <v>9044.6666666666661</v>
      </c>
      <c r="AP56" s="77">
        <f t="shared" si="19"/>
        <v>15416.666666666666</v>
      </c>
      <c r="AQ56" s="77">
        <f t="shared" si="20"/>
        <v>15416.666666666666</v>
      </c>
      <c r="AS56" s="17"/>
    </row>
    <row r="57" spans="2:45" x14ac:dyDescent="0.35">
      <c r="B57" s="18" t="s">
        <v>28</v>
      </c>
      <c r="C57"/>
      <c r="D57"/>
      <c r="E57" s="116">
        <f t="shared" si="5"/>
        <v>540000</v>
      </c>
      <c r="F57" s="77">
        <v>45000</v>
      </c>
      <c r="G57" s="77">
        <v>45000</v>
      </c>
      <c r="H57" s="77">
        <v>45000</v>
      </c>
      <c r="I57" s="77">
        <v>45000</v>
      </c>
      <c r="J57" s="77">
        <v>45000</v>
      </c>
      <c r="K57" s="77">
        <v>45000</v>
      </c>
      <c r="L57" s="77">
        <v>45000</v>
      </c>
      <c r="M57" s="77">
        <v>45000</v>
      </c>
      <c r="N57" s="77">
        <v>45000</v>
      </c>
      <c r="O57" s="77">
        <v>45000</v>
      </c>
      <c r="P57" s="77">
        <v>45000</v>
      </c>
      <c r="Q57" s="77">
        <v>45000</v>
      </c>
      <c r="R57" s="116">
        <f t="shared" si="6"/>
        <v>628392</v>
      </c>
      <c r="S57" s="77">
        <f t="shared" si="59"/>
        <v>44796</v>
      </c>
      <c r="T57" s="77">
        <f t="shared" si="59"/>
        <v>62834</v>
      </c>
      <c r="U57" s="77">
        <f t="shared" si="59"/>
        <v>45258</v>
      </c>
      <c r="V57" s="77">
        <f t="shared" si="59"/>
        <v>94585</v>
      </c>
      <c r="W57" s="77">
        <f t="shared" si="59"/>
        <v>77891</v>
      </c>
      <c r="X57" s="77">
        <f t="shared" si="59"/>
        <v>70202</v>
      </c>
      <c r="Y57" s="77">
        <f t="shared" si="59"/>
        <v>65189</v>
      </c>
      <c r="Z57" s="77">
        <f t="shared" si="59"/>
        <v>143071</v>
      </c>
      <c r="AA57" s="77">
        <f t="shared" si="59"/>
        <v>24566</v>
      </c>
      <c r="AB57" s="77">
        <f t="shared" si="59"/>
        <v>0</v>
      </c>
      <c r="AC57" s="77">
        <f t="shared" si="59"/>
        <v>0</v>
      </c>
      <c r="AD57" s="77">
        <f t="shared" si="59"/>
        <v>0</v>
      </c>
      <c r="AE57" s="116">
        <f t="shared" si="8"/>
        <v>-88392</v>
      </c>
      <c r="AF57" s="77">
        <f t="shared" si="9"/>
        <v>204</v>
      </c>
      <c r="AG57" s="77">
        <f t="shared" si="10"/>
        <v>-17834</v>
      </c>
      <c r="AH57" s="77">
        <f t="shared" si="11"/>
        <v>-258</v>
      </c>
      <c r="AI57" s="77">
        <f t="shared" si="12"/>
        <v>-49585</v>
      </c>
      <c r="AJ57" s="77">
        <f t="shared" si="13"/>
        <v>-32891</v>
      </c>
      <c r="AK57" s="77">
        <f t="shared" si="14"/>
        <v>-25202</v>
      </c>
      <c r="AL57" s="77">
        <f t="shared" si="15"/>
        <v>-20189</v>
      </c>
      <c r="AM57" s="77">
        <f t="shared" si="16"/>
        <v>-98071</v>
      </c>
      <c r="AN57" s="77">
        <f t="shared" si="17"/>
        <v>20434</v>
      </c>
      <c r="AO57" s="77">
        <f t="shared" si="18"/>
        <v>45000</v>
      </c>
      <c r="AP57" s="77">
        <f t="shared" si="19"/>
        <v>45000</v>
      </c>
      <c r="AQ57" s="77">
        <f t="shared" si="20"/>
        <v>45000</v>
      </c>
      <c r="AS57" s="17"/>
    </row>
    <row r="58" spans="2:45" x14ac:dyDescent="0.35">
      <c r="B58" s="18" t="s">
        <v>9</v>
      </c>
      <c r="C58"/>
      <c r="D58"/>
      <c r="E58" s="116">
        <f t="shared" si="5"/>
        <v>240000</v>
      </c>
      <c r="F58" s="77">
        <v>20000</v>
      </c>
      <c r="G58" s="77">
        <v>20000</v>
      </c>
      <c r="H58" s="77">
        <v>20000</v>
      </c>
      <c r="I58" s="77">
        <v>20000</v>
      </c>
      <c r="J58" s="77">
        <v>20000</v>
      </c>
      <c r="K58" s="77">
        <v>20000</v>
      </c>
      <c r="L58" s="77">
        <v>20000</v>
      </c>
      <c r="M58" s="77">
        <v>20000</v>
      </c>
      <c r="N58" s="77">
        <v>20000</v>
      </c>
      <c r="O58" s="77">
        <v>20000</v>
      </c>
      <c r="P58" s="77">
        <v>20000</v>
      </c>
      <c r="Q58" s="77">
        <v>20000</v>
      </c>
      <c r="R58" s="116">
        <f t="shared" si="6"/>
        <v>240876</v>
      </c>
      <c r="S58" s="77">
        <f t="shared" si="59"/>
        <v>29313</v>
      </c>
      <c r="T58" s="77">
        <f t="shared" si="59"/>
        <v>28054</v>
      </c>
      <c r="U58" s="77">
        <f t="shared" si="59"/>
        <v>26704</v>
      </c>
      <c r="V58" s="77">
        <f t="shared" si="59"/>
        <v>50167</v>
      </c>
      <c r="W58" s="77">
        <f t="shared" si="59"/>
        <v>22310</v>
      </c>
      <c r="X58" s="77">
        <f t="shared" si="59"/>
        <v>-5838</v>
      </c>
      <c r="Y58" s="77">
        <f t="shared" si="59"/>
        <v>49357</v>
      </c>
      <c r="Z58" s="77">
        <f t="shared" si="59"/>
        <v>12000</v>
      </c>
      <c r="AA58" s="77">
        <f t="shared" si="59"/>
        <v>28809</v>
      </c>
      <c r="AB58" s="77">
        <f t="shared" si="59"/>
        <v>0</v>
      </c>
      <c r="AC58" s="77">
        <f t="shared" si="59"/>
        <v>0</v>
      </c>
      <c r="AD58" s="77">
        <f t="shared" si="59"/>
        <v>0</v>
      </c>
      <c r="AE58" s="116">
        <f t="shared" si="8"/>
        <v>-876</v>
      </c>
      <c r="AF58" s="77">
        <f t="shared" si="9"/>
        <v>-9313</v>
      </c>
      <c r="AG58" s="77">
        <f t="shared" si="10"/>
        <v>-8054</v>
      </c>
      <c r="AH58" s="77">
        <f t="shared" si="11"/>
        <v>-6704</v>
      </c>
      <c r="AI58" s="77">
        <f t="shared" si="12"/>
        <v>-30167</v>
      </c>
      <c r="AJ58" s="77">
        <f t="shared" si="13"/>
        <v>-2310</v>
      </c>
      <c r="AK58" s="77">
        <f t="shared" si="14"/>
        <v>25838</v>
      </c>
      <c r="AL58" s="77">
        <f t="shared" si="15"/>
        <v>-29357</v>
      </c>
      <c r="AM58" s="77">
        <f t="shared" si="16"/>
        <v>8000</v>
      </c>
      <c r="AN58" s="77">
        <f t="shared" si="17"/>
        <v>-8809</v>
      </c>
      <c r="AO58" s="77">
        <f t="shared" si="18"/>
        <v>20000</v>
      </c>
      <c r="AP58" s="77">
        <f t="shared" si="19"/>
        <v>20000</v>
      </c>
      <c r="AQ58" s="77">
        <f t="shared" si="20"/>
        <v>20000</v>
      </c>
      <c r="AS58" s="17"/>
    </row>
    <row r="59" spans="2:45" x14ac:dyDescent="0.35">
      <c r="B59" s="18" t="s">
        <v>72</v>
      </c>
      <c r="C59"/>
      <c r="D59"/>
      <c r="E59" s="116">
        <f t="shared" si="5"/>
        <v>1099999.9999999998</v>
      </c>
      <c r="F59" s="77">
        <v>91666.666666666672</v>
      </c>
      <c r="G59" s="77">
        <v>91666.666666666672</v>
      </c>
      <c r="H59" s="77">
        <v>91666.666666666672</v>
      </c>
      <c r="I59" s="77">
        <v>91666.666666666672</v>
      </c>
      <c r="J59" s="77">
        <v>91666.666666666672</v>
      </c>
      <c r="K59" s="77">
        <v>91666.666666666672</v>
      </c>
      <c r="L59" s="77">
        <v>91666.666666666672</v>
      </c>
      <c r="M59" s="77">
        <v>91666.666666666672</v>
      </c>
      <c r="N59" s="77">
        <v>91666.666666666672</v>
      </c>
      <c r="O59" s="77">
        <v>91666.666666666672</v>
      </c>
      <c r="P59" s="77">
        <v>91666.666666666672</v>
      </c>
      <c r="Q59" s="77">
        <v>91666.666666666672</v>
      </c>
      <c r="R59" s="116">
        <f t="shared" si="6"/>
        <v>1115064</v>
      </c>
      <c r="S59" s="77">
        <f t="shared" si="59"/>
        <v>47350</v>
      </c>
      <c r="T59" s="77">
        <f t="shared" si="59"/>
        <v>89500</v>
      </c>
      <c r="U59" s="77">
        <f t="shared" si="59"/>
        <v>128825</v>
      </c>
      <c r="V59" s="77">
        <f t="shared" si="59"/>
        <v>54700</v>
      </c>
      <c r="W59" s="77">
        <f t="shared" si="59"/>
        <v>166324</v>
      </c>
      <c r="X59" s="77">
        <f t="shared" si="59"/>
        <v>153749</v>
      </c>
      <c r="Y59" s="77">
        <f t="shared" si="59"/>
        <v>146758</v>
      </c>
      <c r="Z59" s="77">
        <f t="shared" si="59"/>
        <v>260357</v>
      </c>
      <c r="AA59" s="77">
        <f t="shared" si="59"/>
        <v>67501</v>
      </c>
      <c r="AB59" s="77">
        <f t="shared" si="59"/>
        <v>0</v>
      </c>
      <c r="AC59" s="77">
        <f t="shared" si="59"/>
        <v>0</v>
      </c>
      <c r="AD59" s="77">
        <f t="shared" si="59"/>
        <v>0</v>
      </c>
      <c r="AE59" s="116">
        <f t="shared" si="8"/>
        <v>-15064.000000000233</v>
      </c>
      <c r="AF59" s="77">
        <f t="shared" si="9"/>
        <v>44316.666666666672</v>
      </c>
      <c r="AG59" s="77">
        <f t="shared" si="10"/>
        <v>2166.6666666666715</v>
      </c>
      <c r="AH59" s="77">
        <f t="shared" si="11"/>
        <v>-37158.333333333328</v>
      </c>
      <c r="AI59" s="77">
        <f t="shared" si="12"/>
        <v>36966.666666666672</v>
      </c>
      <c r="AJ59" s="77">
        <f t="shared" si="13"/>
        <v>-74657.333333333328</v>
      </c>
      <c r="AK59" s="77">
        <f t="shared" si="14"/>
        <v>-62082.333333333328</v>
      </c>
      <c r="AL59" s="77">
        <f t="shared" si="15"/>
        <v>-55091.333333333328</v>
      </c>
      <c r="AM59" s="77">
        <f t="shared" si="16"/>
        <v>-168690.33333333331</v>
      </c>
      <c r="AN59" s="77">
        <f t="shared" si="17"/>
        <v>24165.666666666672</v>
      </c>
      <c r="AO59" s="77">
        <f t="shared" si="18"/>
        <v>91666.666666666672</v>
      </c>
      <c r="AP59" s="77">
        <f t="shared" si="19"/>
        <v>91666.666666666672</v>
      </c>
      <c r="AQ59" s="77">
        <f t="shared" si="20"/>
        <v>91666.666666666672</v>
      </c>
      <c r="AS59" s="17"/>
    </row>
    <row r="60" spans="2:45" x14ac:dyDescent="0.35">
      <c r="B60" s="18" t="s">
        <v>24</v>
      </c>
      <c r="C60"/>
      <c r="D60"/>
      <c r="E60" s="116">
        <f t="shared" si="5"/>
        <v>840000</v>
      </c>
      <c r="F60" s="77">
        <v>70000</v>
      </c>
      <c r="G60" s="77">
        <v>70000</v>
      </c>
      <c r="H60" s="77">
        <v>70000</v>
      </c>
      <c r="I60" s="77">
        <v>70000</v>
      </c>
      <c r="J60" s="77">
        <v>70000</v>
      </c>
      <c r="K60" s="77">
        <v>70000</v>
      </c>
      <c r="L60" s="77">
        <v>70000</v>
      </c>
      <c r="M60" s="77">
        <v>70000</v>
      </c>
      <c r="N60" s="77">
        <v>70000</v>
      </c>
      <c r="O60" s="77">
        <v>70000</v>
      </c>
      <c r="P60" s="77">
        <v>70000</v>
      </c>
      <c r="Q60" s="77">
        <v>70000</v>
      </c>
      <c r="R60" s="116">
        <f t="shared" si="6"/>
        <v>504578</v>
      </c>
      <c r="S60" s="77">
        <f t="shared" si="59"/>
        <v>53177</v>
      </c>
      <c r="T60" s="77">
        <f t="shared" si="59"/>
        <v>12578</v>
      </c>
      <c r="U60" s="77">
        <f t="shared" si="59"/>
        <v>51463</v>
      </c>
      <c r="V60" s="77">
        <f t="shared" si="59"/>
        <v>59862</v>
      </c>
      <c r="W60" s="77">
        <f t="shared" si="59"/>
        <v>96812</v>
      </c>
      <c r="X60" s="77">
        <f t="shared" si="59"/>
        <v>89878</v>
      </c>
      <c r="Y60" s="77">
        <f t="shared" si="59"/>
        <v>61099</v>
      </c>
      <c r="Z60" s="77">
        <f t="shared" si="59"/>
        <v>20926</v>
      </c>
      <c r="AA60" s="77">
        <f t="shared" si="59"/>
        <v>48274</v>
      </c>
      <c r="AB60" s="77">
        <f t="shared" si="59"/>
        <v>10509</v>
      </c>
      <c r="AC60" s="77">
        <f t="shared" si="59"/>
        <v>0</v>
      </c>
      <c r="AD60" s="77">
        <f t="shared" si="59"/>
        <v>0</v>
      </c>
      <c r="AE60" s="116">
        <f t="shared" si="8"/>
        <v>335422</v>
      </c>
      <c r="AF60" s="77">
        <f t="shared" si="9"/>
        <v>16823</v>
      </c>
      <c r="AG60" s="77">
        <f t="shared" si="10"/>
        <v>57422</v>
      </c>
      <c r="AH60" s="77">
        <f t="shared" si="11"/>
        <v>18537</v>
      </c>
      <c r="AI60" s="77">
        <f t="shared" si="12"/>
        <v>10138</v>
      </c>
      <c r="AJ60" s="77">
        <f t="shared" si="13"/>
        <v>-26812</v>
      </c>
      <c r="AK60" s="77">
        <f t="shared" si="14"/>
        <v>-19878</v>
      </c>
      <c r="AL60" s="77">
        <f t="shared" si="15"/>
        <v>8901</v>
      </c>
      <c r="AM60" s="77">
        <f t="shared" si="16"/>
        <v>49074</v>
      </c>
      <c r="AN60" s="77">
        <f t="shared" si="17"/>
        <v>21726</v>
      </c>
      <c r="AO60" s="77">
        <f t="shared" si="18"/>
        <v>59491</v>
      </c>
      <c r="AP60" s="77">
        <f t="shared" si="19"/>
        <v>70000</v>
      </c>
      <c r="AQ60" s="77">
        <f t="shared" si="20"/>
        <v>70000</v>
      </c>
      <c r="AS60" s="17"/>
    </row>
    <row r="61" spans="2:45" x14ac:dyDescent="0.35">
      <c r="B61" s="18" t="s">
        <v>42</v>
      </c>
      <c r="C61"/>
      <c r="D61"/>
      <c r="E61" s="116">
        <f t="shared" si="5"/>
        <v>20000</v>
      </c>
      <c r="F61" s="77">
        <v>1666.6666666666667</v>
      </c>
      <c r="G61" s="77">
        <v>1666.6666666666667</v>
      </c>
      <c r="H61" s="77">
        <v>1666.6666666666667</v>
      </c>
      <c r="I61" s="77">
        <v>1666.6666666666667</v>
      </c>
      <c r="J61" s="77">
        <v>1666.6666666666667</v>
      </c>
      <c r="K61" s="77">
        <v>1666.6666666666667</v>
      </c>
      <c r="L61" s="77">
        <v>1666.6666666666667</v>
      </c>
      <c r="M61" s="77">
        <v>1666.6666666666667</v>
      </c>
      <c r="N61" s="77">
        <v>1666.6666666666667</v>
      </c>
      <c r="O61" s="77">
        <v>1666.6666666666667</v>
      </c>
      <c r="P61" s="77">
        <v>1666.6666666666667</v>
      </c>
      <c r="Q61" s="77">
        <v>1666.6666666666667</v>
      </c>
      <c r="R61" s="116">
        <f t="shared" si="6"/>
        <v>4157</v>
      </c>
      <c r="S61" s="77">
        <f t="shared" si="59"/>
        <v>0</v>
      </c>
      <c r="T61" s="77">
        <f t="shared" si="59"/>
        <v>0</v>
      </c>
      <c r="U61" s="77">
        <f t="shared" si="59"/>
        <v>0</v>
      </c>
      <c r="V61" s="77">
        <f t="shared" si="59"/>
        <v>4157</v>
      </c>
      <c r="W61" s="77">
        <f t="shared" si="59"/>
        <v>0</v>
      </c>
      <c r="X61" s="77">
        <f t="shared" si="59"/>
        <v>0</v>
      </c>
      <c r="Y61" s="77">
        <f t="shared" si="59"/>
        <v>0</v>
      </c>
      <c r="Z61" s="77">
        <f t="shared" si="59"/>
        <v>0</v>
      </c>
      <c r="AA61" s="77">
        <f t="shared" si="59"/>
        <v>0</v>
      </c>
      <c r="AB61" s="77">
        <f t="shared" si="59"/>
        <v>0</v>
      </c>
      <c r="AC61" s="77">
        <f t="shared" si="59"/>
        <v>0</v>
      </c>
      <c r="AD61" s="77">
        <f t="shared" si="59"/>
        <v>0</v>
      </c>
      <c r="AE61" s="116">
        <f t="shared" si="8"/>
        <v>15843</v>
      </c>
      <c r="AF61" s="77">
        <f t="shared" si="9"/>
        <v>1666.6666666666667</v>
      </c>
      <c r="AG61" s="77">
        <f t="shared" si="10"/>
        <v>1666.6666666666667</v>
      </c>
      <c r="AH61" s="77">
        <f t="shared" si="11"/>
        <v>1666.6666666666667</v>
      </c>
      <c r="AI61" s="77">
        <f t="shared" si="12"/>
        <v>-2490.333333333333</v>
      </c>
      <c r="AJ61" s="77">
        <f t="shared" si="13"/>
        <v>1666.6666666666667</v>
      </c>
      <c r="AK61" s="77">
        <f t="shared" si="14"/>
        <v>1666.6666666666667</v>
      </c>
      <c r="AL61" s="77">
        <f t="shared" si="15"/>
        <v>1666.6666666666667</v>
      </c>
      <c r="AM61" s="77">
        <f t="shared" si="16"/>
        <v>1666.6666666666667</v>
      </c>
      <c r="AN61" s="77">
        <f t="shared" si="17"/>
        <v>1666.6666666666667</v>
      </c>
      <c r="AO61" s="77">
        <f t="shared" si="18"/>
        <v>1666.6666666666667</v>
      </c>
      <c r="AP61" s="77">
        <f t="shared" si="19"/>
        <v>1666.6666666666667</v>
      </c>
      <c r="AQ61" s="77">
        <f t="shared" si="20"/>
        <v>1666.6666666666667</v>
      </c>
      <c r="AS61" s="17"/>
    </row>
    <row r="62" spans="2:45" x14ac:dyDescent="0.35">
      <c r="B62" s="18" t="s">
        <v>26</v>
      </c>
      <c r="C62"/>
      <c r="D62"/>
      <c r="E62" s="116">
        <f t="shared" si="5"/>
        <v>190000.00000000003</v>
      </c>
      <c r="F62" s="77">
        <v>15833.333333333334</v>
      </c>
      <c r="G62" s="77">
        <v>15833.333333333334</v>
      </c>
      <c r="H62" s="77">
        <v>15833.333333333334</v>
      </c>
      <c r="I62" s="77">
        <v>15833.333333333334</v>
      </c>
      <c r="J62" s="77">
        <v>15833.333333333334</v>
      </c>
      <c r="K62" s="77">
        <v>15833.333333333334</v>
      </c>
      <c r="L62" s="77">
        <v>15833.333333333334</v>
      </c>
      <c r="M62" s="77">
        <v>15833.333333333334</v>
      </c>
      <c r="N62" s="77">
        <v>15833.333333333334</v>
      </c>
      <c r="O62" s="77">
        <v>15833.333333333334</v>
      </c>
      <c r="P62" s="77">
        <v>15833.333333333334</v>
      </c>
      <c r="Q62" s="77">
        <v>15833.333333333334</v>
      </c>
      <c r="R62" s="116">
        <f t="shared" si="6"/>
        <v>116825</v>
      </c>
      <c r="S62" s="77">
        <f t="shared" si="59"/>
        <v>0</v>
      </c>
      <c r="T62" s="77">
        <f t="shared" si="59"/>
        <v>5444</v>
      </c>
      <c r="U62" s="77">
        <f t="shared" si="59"/>
        <v>6420</v>
      </c>
      <c r="V62" s="77">
        <f t="shared" si="59"/>
        <v>17177</v>
      </c>
      <c r="W62" s="77">
        <f t="shared" si="59"/>
        <v>10356</v>
      </c>
      <c r="X62" s="77">
        <f t="shared" si="59"/>
        <v>24969</v>
      </c>
      <c r="Y62" s="77">
        <f t="shared" si="59"/>
        <v>12315</v>
      </c>
      <c r="Z62" s="77">
        <f t="shared" si="59"/>
        <v>21992</v>
      </c>
      <c r="AA62" s="77">
        <f t="shared" si="59"/>
        <v>18152</v>
      </c>
      <c r="AB62" s="77">
        <f t="shared" si="59"/>
        <v>0</v>
      </c>
      <c r="AC62" s="77">
        <f t="shared" si="59"/>
        <v>0</v>
      </c>
      <c r="AD62" s="77">
        <f t="shared" si="59"/>
        <v>0</v>
      </c>
      <c r="AE62" s="116">
        <f t="shared" si="8"/>
        <v>73175.000000000029</v>
      </c>
      <c r="AF62" s="77">
        <f t="shared" si="9"/>
        <v>15833.333333333334</v>
      </c>
      <c r="AG62" s="77">
        <f t="shared" si="10"/>
        <v>10389.333333333334</v>
      </c>
      <c r="AH62" s="77">
        <f t="shared" si="11"/>
        <v>9413.3333333333339</v>
      </c>
      <c r="AI62" s="77">
        <f t="shared" si="12"/>
        <v>-1343.6666666666661</v>
      </c>
      <c r="AJ62" s="77">
        <f t="shared" si="13"/>
        <v>5477.3333333333339</v>
      </c>
      <c r="AK62" s="77">
        <f t="shared" si="14"/>
        <v>-9135.6666666666661</v>
      </c>
      <c r="AL62" s="77">
        <f t="shared" si="15"/>
        <v>3518.3333333333339</v>
      </c>
      <c r="AM62" s="77">
        <f t="shared" si="16"/>
        <v>-6158.6666666666661</v>
      </c>
      <c r="AN62" s="77">
        <f t="shared" si="17"/>
        <v>-2318.6666666666661</v>
      </c>
      <c r="AO62" s="77">
        <f t="shared" si="18"/>
        <v>15833.333333333334</v>
      </c>
      <c r="AP62" s="77">
        <f t="shared" si="19"/>
        <v>15833.333333333334</v>
      </c>
      <c r="AQ62" s="77">
        <f t="shared" si="20"/>
        <v>15833.333333333334</v>
      </c>
      <c r="AS62" s="17"/>
    </row>
    <row r="63" spans="2:45" x14ac:dyDescent="0.35">
      <c r="B63" s="18" t="s">
        <v>37</v>
      </c>
      <c r="C63"/>
      <c r="D63"/>
      <c r="E63" s="116">
        <f t="shared" si="5"/>
        <v>49099999.999999993</v>
      </c>
      <c r="F63" s="77">
        <v>4091666.6666666665</v>
      </c>
      <c r="G63" s="77">
        <v>4091666.6666666665</v>
      </c>
      <c r="H63" s="77">
        <v>4091666.6666666665</v>
      </c>
      <c r="I63" s="77">
        <v>4091666.6666666665</v>
      </c>
      <c r="J63" s="77">
        <v>4091666.6666666665</v>
      </c>
      <c r="K63" s="77">
        <v>4091666.6666666665</v>
      </c>
      <c r="L63" s="77">
        <v>4091666.6666666665</v>
      </c>
      <c r="M63" s="77">
        <v>4091666.6666666665</v>
      </c>
      <c r="N63" s="77">
        <v>4091666.6666666665</v>
      </c>
      <c r="O63" s="77">
        <v>4091666.6666666665</v>
      </c>
      <c r="P63" s="77">
        <v>4091666.6666666665</v>
      </c>
      <c r="Q63" s="77">
        <v>4091666.6666666665</v>
      </c>
      <c r="R63" s="116">
        <f t="shared" si="6"/>
        <v>51679813.569999993</v>
      </c>
      <c r="S63" s="77">
        <f t="shared" ref="S63:AD63" si="60">IFERROR(SUMIFS(Skutecnost,Skupina,$B63,Rok,S$4,Mesic,S$5)*-1,0)</f>
        <v>4155513.4000000004</v>
      </c>
      <c r="T63" s="77">
        <f t="shared" si="60"/>
        <v>4608541.1899999995</v>
      </c>
      <c r="U63" s="77">
        <f t="shared" si="60"/>
        <v>8199404.5</v>
      </c>
      <c r="V63" s="77">
        <f t="shared" si="60"/>
        <v>5256722.7300000004</v>
      </c>
      <c r="W63" s="77">
        <f t="shared" si="60"/>
        <v>5828430.4000000004</v>
      </c>
      <c r="X63" s="77">
        <f t="shared" si="60"/>
        <v>4208147.47</v>
      </c>
      <c r="Y63" s="77">
        <f t="shared" si="60"/>
        <v>9011969.629999999</v>
      </c>
      <c r="Z63" s="77">
        <f t="shared" si="60"/>
        <v>6466870.4299999997</v>
      </c>
      <c r="AA63" s="77">
        <f t="shared" si="60"/>
        <v>3925844.11</v>
      </c>
      <c r="AB63" s="77">
        <f t="shared" si="60"/>
        <v>18369.71</v>
      </c>
      <c r="AC63" s="77">
        <f t="shared" si="60"/>
        <v>0</v>
      </c>
      <c r="AD63" s="77">
        <f t="shared" si="60"/>
        <v>0</v>
      </c>
      <c r="AE63" s="116">
        <f t="shared" si="8"/>
        <v>-2579813.5700000003</v>
      </c>
      <c r="AF63" s="77">
        <f t="shared" si="9"/>
        <v>-63846.733333333861</v>
      </c>
      <c r="AG63" s="77">
        <f t="shared" si="10"/>
        <v>-516874.52333333297</v>
      </c>
      <c r="AH63" s="77">
        <f t="shared" si="11"/>
        <v>-4107737.8333333335</v>
      </c>
      <c r="AI63" s="77">
        <f t="shared" si="12"/>
        <v>-1165056.0633333339</v>
      </c>
      <c r="AJ63" s="77">
        <f t="shared" si="13"/>
        <v>-1736763.7333333339</v>
      </c>
      <c r="AK63" s="77">
        <f t="shared" si="14"/>
        <v>-116480.80333333323</v>
      </c>
      <c r="AL63" s="77">
        <f t="shared" si="15"/>
        <v>-4920302.9633333329</v>
      </c>
      <c r="AM63" s="77">
        <f t="shared" si="16"/>
        <v>-2375203.7633333332</v>
      </c>
      <c r="AN63" s="77">
        <f t="shared" si="17"/>
        <v>165822.55666666664</v>
      </c>
      <c r="AO63" s="77">
        <f t="shared" si="18"/>
        <v>4073296.9566666665</v>
      </c>
      <c r="AP63" s="77">
        <f t="shared" si="19"/>
        <v>4091666.6666666665</v>
      </c>
      <c r="AQ63" s="77">
        <f t="shared" si="20"/>
        <v>4091666.6666666665</v>
      </c>
      <c r="AS63" s="17"/>
    </row>
    <row r="64" spans="2:45" x14ac:dyDescent="0.35">
      <c r="B64" s="53" t="s">
        <v>73</v>
      </c>
      <c r="C64" s="76"/>
      <c r="D64" s="76"/>
      <c r="E64" s="117">
        <f t="shared" si="5"/>
        <v>880000.00000000012</v>
      </c>
      <c r="F64" s="78">
        <v>73333.333333333328</v>
      </c>
      <c r="G64" s="78">
        <v>73333.333333333328</v>
      </c>
      <c r="H64" s="78">
        <v>73333.333333333328</v>
      </c>
      <c r="I64" s="78">
        <v>73333.333333333328</v>
      </c>
      <c r="J64" s="78">
        <v>73333.333333333328</v>
      </c>
      <c r="K64" s="78">
        <v>73333.333333333328</v>
      </c>
      <c r="L64" s="78">
        <v>73333.333333333328</v>
      </c>
      <c r="M64" s="78">
        <v>73333.333333333328</v>
      </c>
      <c r="N64" s="78">
        <v>73333.333333333328</v>
      </c>
      <c r="O64" s="78">
        <v>73333.333333333328</v>
      </c>
      <c r="P64" s="78">
        <v>73333.333333333328</v>
      </c>
      <c r="Q64" s="78">
        <v>73333.333333333328</v>
      </c>
      <c r="R64" s="117">
        <f t="shared" si="6"/>
        <v>466501.60000000003</v>
      </c>
      <c r="S64" s="78">
        <f t="shared" ref="S64:X64" si="61">SUM(S65:S67)</f>
        <v>29777.600000000002</v>
      </c>
      <c r="T64" s="78">
        <f t="shared" si="61"/>
        <v>27892</v>
      </c>
      <c r="U64" s="78">
        <f t="shared" si="61"/>
        <v>93125.6</v>
      </c>
      <c r="V64" s="78">
        <f t="shared" si="61"/>
        <v>28955.200000000001</v>
      </c>
      <c r="W64" s="78">
        <f t="shared" si="61"/>
        <v>0</v>
      </c>
      <c r="X64" s="78">
        <f t="shared" si="61"/>
        <v>122320</v>
      </c>
      <c r="Y64" s="78">
        <f t="shared" ref="Y64" si="62">SUM(Y65:Y67)</f>
        <v>0</v>
      </c>
      <c r="Z64" s="78">
        <f t="shared" ref="Z64:AD64" si="63">SUM(Z65:Z67)</f>
        <v>109528</v>
      </c>
      <c r="AA64" s="78">
        <f t="shared" si="63"/>
        <v>54903.200000000004</v>
      </c>
      <c r="AB64" s="78">
        <f t="shared" si="63"/>
        <v>0</v>
      </c>
      <c r="AC64" s="78">
        <f t="shared" si="63"/>
        <v>0</v>
      </c>
      <c r="AD64" s="78">
        <f t="shared" si="63"/>
        <v>0</v>
      </c>
      <c r="AE64" s="117">
        <f t="shared" si="8"/>
        <v>413498.40000000008</v>
      </c>
      <c r="AF64" s="80">
        <f t="shared" si="9"/>
        <v>43555.733333333323</v>
      </c>
      <c r="AG64" s="80">
        <f t="shared" si="10"/>
        <v>45441.333333333328</v>
      </c>
      <c r="AH64" s="78">
        <f t="shared" si="11"/>
        <v>-19792.266666666677</v>
      </c>
      <c r="AI64" s="78">
        <f t="shared" si="12"/>
        <v>44378.133333333331</v>
      </c>
      <c r="AJ64" s="78">
        <f t="shared" si="13"/>
        <v>73333.333333333328</v>
      </c>
      <c r="AK64" s="78">
        <f t="shared" si="14"/>
        <v>-48986.666666666672</v>
      </c>
      <c r="AL64" s="78">
        <f t="shared" si="15"/>
        <v>73333.333333333328</v>
      </c>
      <c r="AM64" s="78">
        <f t="shared" si="16"/>
        <v>-36194.666666666672</v>
      </c>
      <c r="AN64" s="78">
        <f t="shared" si="17"/>
        <v>18430.133333333324</v>
      </c>
      <c r="AO64" s="78">
        <f t="shared" si="18"/>
        <v>73333.333333333328</v>
      </c>
      <c r="AP64" s="78">
        <f t="shared" si="19"/>
        <v>73333.333333333328</v>
      </c>
      <c r="AQ64" s="78">
        <f t="shared" si="20"/>
        <v>73333.333333333328</v>
      </c>
      <c r="AS64" s="56"/>
    </row>
    <row r="65" spans="2:45" x14ac:dyDescent="0.35">
      <c r="B65" s="18" t="s">
        <v>7</v>
      </c>
      <c r="C65"/>
      <c r="D65"/>
      <c r="E65" s="116">
        <f t="shared" si="5"/>
        <v>500000.00000000006</v>
      </c>
      <c r="F65" s="77">
        <v>41666.666666666664</v>
      </c>
      <c r="G65" s="77">
        <v>41666.666666666664</v>
      </c>
      <c r="H65" s="77">
        <v>41666.666666666664</v>
      </c>
      <c r="I65" s="77">
        <v>41666.666666666664</v>
      </c>
      <c r="J65" s="77">
        <v>41666.666666666664</v>
      </c>
      <c r="K65" s="77">
        <v>41666.666666666664</v>
      </c>
      <c r="L65" s="77">
        <v>41666.666666666664</v>
      </c>
      <c r="M65" s="77">
        <v>41666.666666666664</v>
      </c>
      <c r="N65" s="77">
        <v>41666.666666666664</v>
      </c>
      <c r="O65" s="77">
        <v>41666.666666666664</v>
      </c>
      <c r="P65" s="77">
        <v>41666.666666666664</v>
      </c>
      <c r="Q65" s="77">
        <v>41666.666666666664</v>
      </c>
      <c r="R65" s="116">
        <f t="shared" si="6"/>
        <v>289072</v>
      </c>
      <c r="S65" s="77">
        <f t="shared" ref="S65:AD67" si="64">IFERROR(SUMIFS(Skutecnost,Skupina,$B65,Rok,S$4,Mesic,S$5)*0.8,0)</f>
        <v>29777.600000000002</v>
      </c>
      <c r="T65" s="77">
        <f t="shared" si="64"/>
        <v>27892</v>
      </c>
      <c r="U65" s="77">
        <f t="shared" si="64"/>
        <v>25501.600000000002</v>
      </c>
      <c r="V65" s="77">
        <f t="shared" si="64"/>
        <v>28955.200000000001</v>
      </c>
      <c r="W65" s="77">
        <f t="shared" si="64"/>
        <v>0</v>
      </c>
      <c r="X65" s="77">
        <f t="shared" si="64"/>
        <v>67417.600000000006</v>
      </c>
      <c r="Y65" s="77">
        <f t="shared" si="64"/>
        <v>0</v>
      </c>
      <c r="Z65" s="77">
        <f t="shared" si="64"/>
        <v>109528</v>
      </c>
      <c r="AA65" s="77">
        <f t="shared" si="64"/>
        <v>0</v>
      </c>
      <c r="AB65" s="77">
        <f t="shared" si="64"/>
        <v>0</v>
      </c>
      <c r="AC65" s="77">
        <f t="shared" si="64"/>
        <v>0</v>
      </c>
      <c r="AD65" s="77">
        <f t="shared" si="64"/>
        <v>0</v>
      </c>
      <c r="AE65" s="116">
        <f t="shared" si="8"/>
        <v>210928.00000000006</v>
      </c>
      <c r="AF65" s="77">
        <f t="shared" si="9"/>
        <v>11889.066666666662</v>
      </c>
      <c r="AG65" s="77">
        <f t="shared" si="10"/>
        <v>13774.666666666664</v>
      </c>
      <c r="AH65" s="77">
        <f t="shared" si="11"/>
        <v>16165.066666666662</v>
      </c>
      <c r="AI65" s="77">
        <f t="shared" si="12"/>
        <v>12711.466666666664</v>
      </c>
      <c r="AJ65" s="77">
        <f t="shared" si="13"/>
        <v>41666.666666666664</v>
      </c>
      <c r="AK65" s="77">
        <f t="shared" si="14"/>
        <v>-25750.933333333342</v>
      </c>
      <c r="AL65" s="77">
        <f t="shared" si="15"/>
        <v>41666.666666666664</v>
      </c>
      <c r="AM65" s="77">
        <f t="shared" si="16"/>
        <v>-67861.333333333343</v>
      </c>
      <c r="AN65" s="77">
        <f t="shared" si="17"/>
        <v>41666.666666666664</v>
      </c>
      <c r="AO65" s="77">
        <f t="shared" si="18"/>
        <v>41666.666666666664</v>
      </c>
      <c r="AP65" s="77">
        <f t="shared" si="19"/>
        <v>41666.666666666664</v>
      </c>
      <c r="AQ65" s="77">
        <f t="shared" si="20"/>
        <v>41666.666666666664</v>
      </c>
      <c r="AS65" s="17"/>
    </row>
    <row r="66" spans="2:45" x14ac:dyDescent="0.35">
      <c r="B66" s="18" t="s">
        <v>54</v>
      </c>
      <c r="C66"/>
      <c r="D66"/>
      <c r="E66" s="116">
        <f t="shared" si="5"/>
        <v>229999.99999999997</v>
      </c>
      <c r="F66" s="77">
        <v>19166.666666666668</v>
      </c>
      <c r="G66" s="77">
        <v>19166.666666666668</v>
      </c>
      <c r="H66" s="77">
        <v>19166.666666666668</v>
      </c>
      <c r="I66" s="77">
        <v>19166.666666666668</v>
      </c>
      <c r="J66" s="77">
        <v>19166.666666666668</v>
      </c>
      <c r="K66" s="77">
        <v>19166.666666666668</v>
      </c>
      <c r="L66" s="77">
        <v>19166.666666666668</v>
      </c>
      <c r="M66" s="77">
        <v>19166.666666666668</v>
      </c>
      <c r="N66" s="77">
        <v>19166.666666666668</v>
      </c>
      <c r="O66" s="77">
        <v>19166.666666666668</v>
      </c>
      <c r="P66" s="77">
        <v>19166.666666666668</v>
      </c>
      <c r="Q66" s="77">
        <v>19166.666666666668</v>
      </c>
      <c r="R66" s="116">
        <f t="shared" si="6"/>
        <v>0</v>
      </c>
      <c r="S66" s="77">
        <f t="shared" si="64"/>
        <v>0</v>
      </c>
      <c r="T66" s="77">
        <f t="shared" si="64"/>
        <v>0</v>
      </c>
      <c r="U66" s="77">
        <f t="shared" si="64"/>
        <v>0</v>
      </c>
      <c r="V66" s="77">
        <f t="shared" si="64"/>
        <v>0</v>
      </c>
      <c r="W66" s="77">
        <f t="shared" si="64"/>
        <v>0</v>
      </c>
      <c r="X66" s="77">
        <f t="shared" si="64"/>
        <v>0</v>
      </c>
      <c r="Y66" s="77">
        <f t="shared" si="64"/>
        <v>0</v>
      </c>
      <c r="Z66" s="77">
        <f t="shared" si="64"/>
        <v>0</v>
      </c>
      <c r="AA66" s="77">
        <f t="shared" si="64"/>
        <v>0</v>
      </c>
      <c r="AB66" s="77">
        <f t="shared" si="64"/>
        <v>0</v>
      </c>
      <c r="AC66" s="77">
        <f t="shared" si="64"/>
        <v>0</v>
      </c>
      <c r="AD66" s="77">
        <f t="shared" si="64"/>
        <v>0</v>
      </c>
      <c r="AE66" s="116">
        <f t="shared" si="8"/>
        <v>229999.99999999997</v>
      </c>
      <c r="AF66" s="77">
        <f t="shared" si="9"/>
        <v>19166.666666666668</v>
      </c>
      <c r="AG66" s="77">
        <f t="shared" si="10"/>
        <v>19166.666666666668</v>
      </c>
      <c r="AH66" s="77">
        <f t="shared" si="11"/>
        <v>19166.666666666668</v>
      </c>
      <c r="AI66" s="77">
        <f t="shared" si="12"/>
        <v>19166.666666666668</v>
      </c>
      <c r="AJ66" s="77">
        <f t="shared" si="13"/>
        <v>19166.666666666668</v>
      </c>
      <c r="AK66" s="77">
        <f t="shared" si="14"/>
        <v>19166.666666666668</v>
      </c>
      <c r="AL66" s="77">
        <f t="shared" si="15"/>
        <v>19166.666666666668</v>
      </c>
      <c r="AM66" s="77">
        <f t="shared" si="16"/>
        <v>19166.666666666668</v>
      </c>
      <c r="AN66" s="77">
        <f t="shared" si="17"/>
        <v>19166.666666666668</v>
      </c>
      <c r="AO66" s="77">
        <f t="shared" si="18"/>
        <v>19166.666666666668</v>
      </c>
      <c r="AP66" s="77">
        <f t="shared" si="19"/>
        <v>19166.666666666668</v>
      </c>
      <c r="AQ66" s="77">
        <f t="shared" si="20"/>
        <v>19166.666666666668</v>
      </c>
      <c r="AS66" s="17"/>
    </row>
    <row r="67" spans="2:45" x14ac:dyDescent="0.35">
      <c r="B67" s="18" t="s">
        <v>55</v>
      </c>
      <c r="C67"/>
      <c r="D67"/>
      <c r="E67" s="116">
        <f t="shared" si="5"/>
        <v>150000</v>
      </c>
      <c r="F67" s="77">
        <v>12500</v>
      </c>
      <c r="G67" s="77">
        <v>12500</v>
      </c>
      <c r="H67" s="77">
        <v>12500</v>
      </c>
      <c r="I67" s="77">
        <v>12500</v>
      </c>
      <c r="J67" s="77">
        <v>12500</v>
      </c>
      <c r="K67" s="77">
        <v>12500</v>
      </c>
      <c r="L67" s="77">
        <v>12500</v>
      </c>
      <c r="M67" s="77">
        <v>12500</v>
      </c>
      <c r="N67" s="77">
        <v>12500</v>
      </c>
      <c r="O67" s="77">
        <v>12500</v>
      </c>
      <c r="P67" s="77">
        <v>12500</v>
      </c>
      <c r="Q67" s="77">
        <v>12500</v>
      </c>
      <c r="R67" s="116">
        <f t="shared" si="6"/>
        <v>177429.6</v>
      </c>
      <c r="S67" s="77">
        <f t="shared" si="64"/>
        <v>0</v>
      </c>
      <c r="T67" s="77">
        <f t="shared" si="64"/>
        <v>0</v>
      </c>
      <c r="U67" s="77">
        <f t="shared" si="64"/>
        <v>67624</v>
      </c>
      <c r="V67" s="77">
        <f t="shared" si="64"/>
        <v>0</v>
      </c>
      <c r="W67" s="77">
        <f t="shared" si="64"/>
        <v>0</v>
      </c>
      <c r="X67" s="77">
        <f t="shared" si="64"/>
        <v>54902.400000000001</v>
      </c>
      <c r="Y67" s="77">
        <f t="shared" si="64"/>
        <v>0</v>
      </c>
      <c r="Z67" s="77">
        <f t="shared" si="64"/>
        <v>0</v>
      </c>
      <c r="AA67" s="77">
        <f t="shared" si="64"/>
        <v>54903.200000000004</v>
      </c>
      <c r="AB67" s="77">
        <f t="shared" si="64"/>
        <v>0</v>
      </c>
      <c r="AC67" s="77">
        <f t="shared" si="64"/>
        <v>0</v>
      </c>
      <c r="AD67" s="77">
        <f t="shared" si="64"/>
        <v>0</v>
      </c>
      <c r="AE67" s="116">
        <f t="shared" si="8"/>
        <v>-27429.600000000006</v>
      </c>
      <c r="AF67" s="77">
        <f t="shared" si="9"/>
        <v>12500</v>
      </c>
      <c r="AG67" s="77">
        <f t="shared" si="10"/>
        <v>12500</v>
      </c>
      <c r="AH67" s="77">
        <f t="shared" si="11"/>
        <v>-55124</v>
      </c>
      <c r="AI67" s="77">
        <f t="shared" si="12"/>
        <v>12500</v>
      </c>
      <c r="AJ67" s="77">
        <f t="shared" si="13"/>
        <v>12500</v>
      </c>
      <c r="AK67" s="77">
        <f t="shared" si="14"/>
        <v>-42402.400000000001</v>
      </c>
      <c r="AL67" s="77">
        <f t="shared" si="15"/>
        <v>12500</v>
      </c>
      <c r="AM67" s="77">
        <f t="shared" si="16"/>
        <v>12500</v>
      </c>
      <c r="AN67" s="77">
        <f t="shared" si="17"/>
        <v>-42403.200000000004</v>
      </c>
      <c r="AO67" s="77">
        <f t="shared" si="18"/>
        <v>12500</v>
      </c>
      <c r="AP67" s="77">
        <f t="shared" si="19"/>
        <v>12500</v>
      </c>
      <c r="AQ67" s="77">
        <f t="shared" si="20"/>
        <v>12500</v>
      </c>
      <c r="AS67" s="17"/>
    </row>
    <row r="68" spans="2:45" x14ac:dyDescent="0.35">
      <c r="B68" s="53" t="s">
        <v>12</v>
      </c>
      <c r="C68" s="76"/>
      <c r="D68" s="76"/>
      <c r="E68" s="117">
        <f t="shared" si="5"/>
        <v>840000</v>
      </c>
      <c r="F68" s="80">
        <v>70000</v>
      </c>
      <c r="G68" s="78">
        <v>70000</v>
      </c>
      <c r="H68" s="78">
        <v>70000</v>
      </c>
      <c r="I68" s="78">
        <v>70000</v>
      </c>
      <c r="J68" s="78">
        <v>70000</v>
      </c>
      <c r="K68" s="78">
        <v>70000</v>
      </c>
      <c r="L68" s="78">
        <v>70000</v>
      </c>
      <c r="M68" s="78">
        <v>70000</v>
      </c>
      <c r="N68" s="78">
        <v>70000</v>
      </c>
      <c r="O68" s="78">
        <v>70000</v>
      </c>
      <c r="P68" s="78">
        <v>70000</v>
      </c>
      <c r="Q68" s="78">
        <v>70000</v>
      </c>
      <c r="R68" s="117">
        <f t="shared" si="6"/>
        <v>406666</v>
      </c>
      <c r="S68" s="78">
        <f t="shared" ref="S68:AD69" si="65">IFERROR(SUMIFS(Skutecnost,Skupina,$B68,Rok,S$4,Mesic,S$5),0)</f>
        <v>53132</v>
      </c>
      <c r="T68" s="78">
        <f t="shared" si="65"/>
        <v>44449</v>
      </c>
      <c r="U68" s="78">
        <f t="shared" si="65"/>
        <v>54939</v>
      </c>
      <c r="V68" s="78">
        <f t="shared" si="65"/>
        <v>47160</v>
      </c>
      <c r="W68" s="78">
        <f t="shared" si="65"/>
        <v>44950</v>
      </c>
      <c r="X68" s="78">
        <f t="shared" si="65"/>
        <v>12833</v>
      </c>
      <c r="Y68" s="78">
        <f t="shared" si="65"/>
        <v>50091</v>
      </c>
      <c r="Z68" s="78">
        <f t="shared" si="65"/>
        <v>56126</v>
      </c>
      <c r="AA68" s="78">
        <f t="shared" si="65"/>
        <v>42986</v>
      </c>
      <c r="AB68" s="78">
        <f t="shared" si="65"/>
        <v>0</v>
      </c>
      <c r="AC68" s="78">
        <f t="shared" si="65"/>
        <v>0</v>
      </c>
      <c r="AD68" s="78">
        <f t="shared" si="65"/>
        <v>0</v>
      </c>
      <c r="AE68" s="117">
        <f t="shared" si="8"/>
        <v>433334</v>
      </c>
      <c r="AF68" s="80">
        <f t="shared" si="9"/>
        <v>16868</v>
      </c>
      <c r="AG68" s="80">
        <f t="shared" si="10"/>
        <v>25551</v>
      </c>
      <c r="AH68" s="78">
        <f t="shared" si="11"/>
        <v>15061</v>
      </c>
      <c r="AI68" s="78">
        <f t="shared" si="12"/>
        <v>22840</v>
      </c>
      <c r="AJ68" s="78">
        <f t="shared" si="13"/>
        <v>25050</v>
      </c>
      <c r="AK68" s="78">
        <f t="shared" si="14"/>
        <v>57167</v>
      </c>
      <c r="AL68" s="78">
        <f t="shared" si="15"/>
        <v>19909</v>
      </c>
      <c r="AM68" s="78">
        <f t="shared" si="16"/>
        <v>13874</v>
      </c>
      <c r="AN68" s="78">
        <f t="shared" si="17"/>
        <v>27014</v>
      </c>
      <c r="AO68" s="78">
        <f t="shared" si="18"/>
        <v>70000</v>
      </c>
      <c r="AP68" s="78">
        <f t="shared" si="19"/>
        <v>70000</v>
      </c>
      <c r="AQ68" s="78">
        <f t="shared" si="20"/>
        <v>70000</v>
      </c>
      <c r="AS68" s="56"/>
    </row>
    <row r="69" spans="2:45" x14ac:dyDescent="0.35">
      <c r="B69" s="53" t="s">
        <v>74</v>
      </c>
      <c r="C69" s="76"/>
      <c r="D69" s="76"/>
      <c r="E69" s="117">
        <f t="shared" si="5"/>
        <v>549999.99999999988</v>
      </c>
      <c r="F69" s="78">
        <v>45833.333333333336</v>
      </c>
      <c r="G69" s="78">
        <v>45833.333333333336</v>
      </c>
      <c r="H69" s="78">
        <v>45833.333333333336</v>
      </c>
      <c r="I69" s="78">
        <v>45833.333333333336</v>
      </c>
      <c r="J69" s="78">
        <v>45833.333333333336</v>
      </c>
      <c r="K69" s="78">
        <v>45833.333333333336</v>
      </c>
      <c r="L69" s="78">
        <v>45833.333333333336</v>
      </c>
      <c r="M69" s="78">
        <v>45833.333333333336</v>
      </c>
      <c r="N69" s="78">
        <v>45833.333333333336</v>
      </c>
      <c r="O69" s="78">
        <v>45833.333333333336</v>
      </c>
      <c r="P69" s="78">
        <v>45833.333333333336</v>
      </c>
      <c r="Q69" s="78">
        <v>45833.333333333336</v>
      </c>
      <c r="R69" s="117">
        <f t="shared" si="6"/>
        <v>324657</v>
      </c>
      <c r="S69" s="78">
        <f t="shared" si="65"/>
        <v>47118</v>
      </c>
      <c r="T69" s="78">
        <f t="shared" si="65"/>
        <v>15645</v>
      </c>
      <c r="U69" s="78">
        <f t="shared" si="65"/>
        <v>33143</v>
      </c>
      <c r="V69" s="78">
        <f t="shared" si="65"/>
        <v>23206</v>
      </c>
      <c r="W69" s="78">
        <f t="shared" si="65"/>
        <v>57828</v>
      </c>
      <c r="X69" s="78">
        <f t="shared" si="65"/>
        <v>29541</v>
      </c>
      <c r="Y69" s="78">
        <f t="shared" si="65"/>
        <v>63342</v>
      </c>
      <c r="Z69" s="78">
        <f t="shared" si="65"/>
        <v>50347</v>
      </c>
      <c r="AA69" s="78">
        <f t="shared" si="65"/>
        <v>4487</v>
      </c>
      <c r="AB69" s="78">
        <f t="shared" si="65"/>
        <v>0</v>
      </c>
      <c r="AC69" s="78">
        <f t="shared" si="65"/>
        <v>0</v>
      </c>
      <c r="AD69" s="78">
        <f t="shared" si="65"/>
        <v>0</v>
      </c>
      <c r="AE69" s="117">
        <f t="shared" si="8"/>
        <v>225342.99999999988</v>
      </c>
      <c r="AF69" s="80">
        <f t="shared" si="9"/>
        <v>-1284.6666666666642</v>
      </c>
      <c r="AG69" s="80">
        <f t="shared" si="10"/>
        <v>30188.333333333336</v>
      </c>
      <c r="AH69" s="78">
        <f t="shared" si="11"/>
        <v>12690.333333333336</v>
      </c>
      <c r="AI69" s="78">
        <f t="shared" si="12"/>
        <v>22627.333333333336</v>
      </c>
      <c r="AJ69" s="78">
        <f t="shared" si="13"/>
        <v>-11994.666666666664</v>
      </c>
      <c r="AK69" s="78">
        <f t="shared" si="14"/>
        <v>16292.333333333336</v>
      </c>
      <c r="AL69" s="78">
        <f t="shared" si="15"/>
        <v>-17508.666666666664</v>
      </c>
      <c r="AM69" s="78">
        <f t="shared" si="16"/>
        <v>-4513.6666666666642</v>
      </c>
      <c r="AN69" s="78">
        <f t="shared" si="17"/>
        <v>41346.333333333336</v>
      </c>
      <c r="AO69" s="78">
        <f t="shared" si="18"/>
        <v>45833.333333333336</v>
      </c>
      <c r="AP69" s="78">
        <f t="shared" si="19"/>
        <v>45833.333333333336</v>
      </c>
      <c r="AQ69" s="78">
        <f t="shared" si="20"/>
        <v>45833.333333333336</v>
      </c>
      <c r="AS69" s="56"/>
    </row>
    <row r="70" spans="2:45" x14ac:dyDescent="0.35">
      <c r="B70" s="53" t="s">
        <v>58</v>
      </c>
      <c r="C70" s="76"/>
      <c r="D70" s="76"/>
      <c r="E70" s="117">
        <f t="shared" si="5"/>
        <v>17875000.000000004</v>
      </c>
      <c r="F70" s="78">
        <v>1489583.3333333333</v>
      </c>
      <c r="G70" s="78">
        <v>1489583.3333333333</v>
      </c>
      <c r="H70" s="78">
        <v>1489583.3333333333</v>
      </c>
      <c r="I70" s="78">
        <v>1489583.3333333333</v>
      </c>
      <c r="J70" s="78">
        <v>1489583.3333333333</v>
      </c>
      <c r="K70" s="78">
        <v>1489583.3333333333</v>
      </c>
      <c r="L70" s="78">
        <v>1489583.3333333333</v>
      </c>
      <c r="M70" s="78">
        <v>1489583.3333333333</v>
      </c>
      <c r="N70" s="78">
        <v>1489583.3333333333</v>
      </c>
      <c r="O70" s="78">
        <v>1489583.3333333333</v>
      </c>
      <c r="P70" s="78">
        <v>1489583.3333333333</v>
      </c>
      <c r="Q70" s="78">
        <v>1489583.3333333333</v>
      </c>
      <c r="R70" s="117">
        <f t="shared" si="6"/>
        <v>18695183</v>
      </c>
      <c r="S70" s="78">
        <f t="shared" ref="S70:X70" si="66">SUM(S71:S76)</f>
        <v>1011170</v>
      </c>
      <c r="T70" s="78">
        <f t="shared" si="66"/>
        <v>931964</v>
      </c>
      <c r="U70" s="78">
        <f t="shared" si="66"/>
        <v>1362772</v>
      </c>
      <c r="V70" s="78">
        <f t="shared" si="66"/>
        <v>2307855</v>
      </c>
      <c r="W70" s="78">
        <f t="shared" si="66"/>
        <v>1920086</v>
      </c>
      <c r="X70" s="78">
        <f t="shared" si="66"/>
        <v>2914229</v>
      </c>
      <c r="Y70" s="78">
        <f t="shared" ref="Y70" si="67">SUM(Y71:Y76)</f>
        <v>3477960</v>
      </c>
      <c r="Z70" s="78">
        <f t="shared" ref="Z70:AD70" si="68">SUM(Z71:Z76)</f>
        <v>2565825</v>
      </c>
      <c r="AA70" s="78">
        <f t="shared" si="68"/>
        <v>1825409</v>
      </c>
      <c r="AB70" s="78">
        <f t="shared" si="68"/>
        <v>377913</v>
      </c>
      <c r="AC70" s="78">
        <f t="shared" si="68"/>
        <v>0</v>
      </c>
      <c r="AD70" s="78">
        <f t="shared" si="68"/>
        <v>0</v>
      </c>
      <c r="AE70" s="117">
        <f t="shared" si="8"/>
        <v>-820182.99999999627</v>
      </c>
      <c r="AF70" s="80">
        <f t="shared" si="9"/>
        <v>478413.33333333326</v>
      </c>
      <c r="AG70" s="80">
        <f t="shared" si="10"/>
        <v>557619.33333333326</v>
      </c>
      <c r="AH70" s="78">
        <f t="shared" si="11"/>
        <v>126811.33333333326</v>
      </c>
      <c r="AI70" s="78">
        <f t="shared" si="12"/>
        <v>-818271.66666666674</v>
      </c>
      <c r="AJ70" s="78">
        <f t="shared" si="13"/>
        <v>-430502.66666666674</v>
      </c>
      <c r="AK70" s="78">
        <f t="shared" si="14"/>
        <v>-1424645.6666666667</v>
      </c>
      <c r="AL70" s="78">
        <f t="shared" si="15"/>
        <v>-1988376.6666666667</v>
      </c>
      <c r="AM70" s="78">
        <f t="shared" si="16"/>
        <v>-1076241.6666666667</v>
      </c>
      <c r="AN70" s="78">
        <f t="shared" si="17"/>
        <v>-335825.66666666674</v>
      </c>
      <c r="AO70" s="78">
        <f t="shared" si="18"/>
        <v>1111670.3333333333</v>
      </c>
      <c r="AP70" s="78">
        <f t="shared" si="19"/>
        <v>1489583.3333333333</v>
      </c>
      <c r="AQ70" s="78">
        <f t="shared" si="20"/>
        <v>1489583.3333333333</v>
      </c>
      <c r="AS70" s="56"/>
    </row>
    <row r="71" spans="2:45" x14ac:dyDescent="0.35">
      <c r="B71" s="18" t="s">
        <v>31</v>
      </c>
      <c r="C71"/>
      <c r="D71"/>
      <c r="E71" s="116">
        <f t="shared" ref="E71:E117" si="69">SUM(F71:Q71)</f>
        <v>2899999.9999999995</v>
      </c>
      <c r="F71" s="77">
        <v>241666.66666666666</v>
      </c>
      <c r="G71" s="77">
        <v>241666.66666666666</v>
      </c>
      <c r="H71" s="77">
        <v>241666.66666666666</v>
      </c>
      <c r="I71" s="77">
        <v>241666.66666666666</v>
      </c>
      <c r="J71" s="77">
        <v>241666.66666666666</v>
      </c>
      <c r="K71" s="77">
        <v>241666.66666666666</v>
      </c>
      <c r="L71" s="77">
        <v>241666.66666666666</v>
      </c>
      <c r="M71" s="77">
        <v>241666.66666666666</v>
      </c>
      <c r="N71" s="77">
        <v>241666.66666666666</v>
      </c>
      <c r="O71" s="77">
        <v>241666.66666666666</v>
      </c>
      <c r="P71" s="77">
        <v>241666.66666666666</v>
      </c>
      <c r="Q71" s="77">
        <v>241666.66666666666</v>
      </c>
      <c r="R71" s="116">
        <f t="shared" ref="R71:R114" si="70">SUM(S71:AD71)</f>
        <v>2210444</v>
      </c>
      <c r="S71" s="77">
        <f t="shared" ref="S71:AD76" si="71">IFERROR(SUMIFS(Skutecnost,Skupina,$B71,Rok,S$4,Mesic,S$5),0)</f>
        <v>89713</v>
      </c>
      <c r="T71" s="77">
        <f t="shared" si="71"/>
        <v>67832</v>
      </c>
      <c r="U71" s="77">
        <f t="shared" si="71"/>
        <v>167010</v>
      </c>
      <c r="V71" s="77">
        <f t="shared" si="71"/>
        <v>241920</v>
      </c>
      <c r="W71" s="77">
        <f t="shared" si="71"/>
        <v>101988</v>
      </c>
      <c r="X71" s="77">
        <f t="shared" si="71"/>
        <v>329926</v>
      </c>
      <c r="Y71" s="77">
        <f t="shared" si="71"/>
        <v>471860</v>
      </c>
      <c r="Z71" s="77">
        <f t="shared" si="71"/>
        <v>351173</v>
      </c>
      <c r="AA71" s="77">
        <f t="shared" si="71"/>
        <v>368522</v>
      </c>
      <c r="AB71" s="77">
        <f t="shared" si="71"/>
        <v>20500</v>
      </c>
      <c r="AC71" s="77">
        <f t="shared" si="71"/>
        <v>0</v>
      </c>
      <c r="AD71" s="77">
        <f t="shared" si="71"/>
        <v>0</v>
      </c>
      <c r="AE71" s="116">
        <f t="shared" si="8"/>
        <v>689555.99999999953</v>
      </c>
      <c r="AF71" s="77">
        <f t="shared" si="9"/>
        <v>151953.66666666666</v>
      </c>
      <c r="AG71" s="77">
        <f t="shared" si="10"/>
        <v>173834.66666666666</v>
      </c>
      <c r="AH71" s="77">
        <f t="shared" si="11"/>
        <v>74656.666666666657</v>
      </c>
      <c r="AI71" s="77">
        <f t="shared" si="12"/>
        <v>-253.33333333334303</v>
      </c>
      <c r="AJ71" s="77">
        <f t="shared" si="13"/>
        <v>139678.66666666666</v>
      </c>
      <c r="AK71" s="77">
        <f t="shared" si="14"/>
        <v>-88259.333333333343</v>
      </c>
      <c r="AL71" s="77">
        <f t="shared" si="15"/>
        <v>-230193.33333333334</v>
      </c>
      <c r="AM71" s="77">
        <f t="shared" si="16"/>
        <v>-109506.33333333334</v>
      </c>
      <c r="AN71" s="77">
        <f t="shared" si="17"/>
        <v>-126855.33333333334</v>
      </c>
      <c r="AO71" s="77">
        <f t="shared" si="18"/>
        <v>221166.66666666666</v>
      </c>
      <c r="AP71" s="77">
        <f t="shared" si="19"/>
        <v>241666.66666666666</v>
      </c>
      <c r="AQ71" s="77">
        <f t="shared" si="20"/>
        <v>241666.66666666666</v>
      </c>
      <c r="AS71" s="17"/>
    </row>
    <row r="72" spans="2:45" x14ac:dyDescent="0.35">
      <c r="B72" s="18" t="s">
        <v>20</v>
      </c>
      <c r="C72"/>
      <c r="D72"/>
      <c r="E72" s="116">
        <f t="shared" si="69"/>
        <v>11000000</v>
      </c>
      <c r="F72" s="77">
        <v>916666.66666666663</v>
      </c>
      <c r="G72" s="77">
        <v>916666.66666666663</v>
      </c>
      <c r="H72" s="77">
        <v>916666.66666666663</v>
      </c>
      <c r="I72" s="77">
        <v>916666.66666666663</v>
      </c>
      <c r="J72" s="77">
        <v>916666.66666666663</v>
      </c>
      <c r="K72" s="77">
        <v>916666.66666666663</v>
      </c>
      <c r="L72" s="77">
        <v>916666.66666666663</v>
      </c>
      <c r="M72" s="77">
        <v>916666.66666666663</v>
      </c>
      <c r="N72" s="77">
        <v>916666.66666666663</v>
      </c>
      <c r="O72" s="77">
        <v>916666.66666666663</v>
      </c>
      <c r="P72" s="77">
        <v>916666.66666666663</v>
      </c>
      <c r="Q72" s="77">
        <v>916666.66666666663</v>
      </c>
      <c r="R72" s="116">
        <f t="shared" si="70"/>
        <v>13965311</v>
      </c>
      <c r="S72" s="77">
        <f t="shared" si="71"/>
        <v>706962</v>
      </c>
      <c r="T72" s="77">
        <f t="shared" si="71"/>
        <v>729051</v>
      </c>
      <c r="U72" s="77">
        <f t="shared" si="71"/>
        <v>1000359</v>
      </c>
      <c r="V72" s="77">
        <f t="shared" si="71"/>
        <v>1837013</v>
      </c>
      <c r="W72" s="77">
        <f t="shared" si="71"/>
        <v>1603537</v>
      </c>
      <c r="X72" s="77">
        <f t="shared" si="71"/>
        <v>1872084</v>
      </c>
      <c r="Y72" s="77">
        <f t="shared" si="71"/>
        <v>2738295</v>
      </c>
      <c r="Z72" s="77">
        <f t="shared" si="71"/>
        <v>1969017</v>
      </c>
      <c r="AA72" s="77">
        <f t="shared" si="71"/>
        <v>1192605</v>
      </c>
      <c r="AB72" s="77">
        <f t="shared" si="71"/>
        <v>316388</v>
      </c>
      <c r="AC72" s="77">
        <f t="shared" si="71"/>
        <v>0</v>
      </c>
      <c r="AD72" s="77">
        <f t="shared" si="71"/>
        <v>0</v>
      </c>
      <c r="AE72" s="116">
        <f t="shared" ref="AE72:AE117" si="72">E72-R72</f>
        <v>-2965311</v>
      </c>
      <c r="AF72" s="77">
        <f t="shared" ref="AF72:AF117" si="73">F72-S72</f>
        <v>209704.66666666663</v>
      </c>
      <c r="AG72" s="77">
        <f t="shared" ref="AG72:AG117" si="74">G72-T72</f>
        <v>187615.66666666663</v>
      </c>
      <c r="AH72" s="77">
        <f t="shared" ref="AH72:AH117" si="75">H72-U72</f>
        <v>-83692.333333333372</v>
      </c>
      <c r="AI72" s="77">
        <f t="shared" ref="AI72:AI117" si="76">I72-V72</f>
        <v>-920346.33333333337</v>
      </c>
      <c r="AJ72" s="77">
        <f t="shared" ref="AJ72:AJ117" si="77">J72-W72</f>
        <v>-686870.33333333337</v>
      </c>
      <c r="AK72" s="77">
        <f t="shared" ref="AK72:AK117" si="78">K72-X72</f>
        <v>-955417.33333333337</v>
      </c>
      <c r="AL72" s="77">
        <f t="shared" ref="AL72:AL117" si="79">L72-Y72</f>
        <v>-1821628.3333333335</v>
      </c>
      <c r="AM72" s="77">
        <f t="shared" ref="AM72:AM117" si="80">M72-Z72</f>
        <v>-1052350.3333333335</v>
      </c>
      <c r="AN72" s="77">
        <f t="shared" ref="AN72:AN117" si="81">N72-AA72</f>
        <v>-275938.33333333337</v>
      </c>
      <c r="AO72" s="77">
        <f t="shared" ref="AO72:AO117" si="82">O72-AB72</f>
        <v>600278.66666666663</v>
      </c>
      <c r="AP72" s="77">
        <f t="shared" ref="AP72:AP117" si="83">P72-AC72</f>
        <v>916666.66666666663</v>
      </c>
      <c r="AQ72" s="77">
        <f t="shared" ref="AQ72:AQ117" si="84">Q72-AD72</f>
        <v>916666.66666666663</v>
      </c>
      <c r="AS72" s="17"/>
    </row>
    <row r="73" spans="2:45" x14ac:dyDescent="0.35">
      <c r="B73" s="18" t="s">
        <v>21</v>
      </c>
      <c r="C73"/>
      <c r="D73"/>
      <c r="E73" s="116">
        <f t="shared" si="69"/>
        <v>2500000</v>
      </c>
      <c r="F73" s="77">
        <v>208333.33333333334</v>
      </c>
      <c r="G73" s="77">
        <v>208333.33333333334</v>
      </c>
      <c r="H73" s="77">
        <v>208333.33333333334</v>
      </c>
      <c r="I73" s="77">
        <v>208333.33333333334</v>
      </c>
      <c r="J73" s="77">
        <v>208333.33333333334</v>
      </c>
      <c r="K73" s="77">
        <v>208333.33333333334</v>
      </c>
      <c r="L73" s="77">
        <v>208333.33333333334</v>
      </c>
      <c r="M73" s="77">
        <v>208333.33333333334</v>
      </c>
      <c r="N73" s="77">
        <v>208333.33333333334</v>
      </c>
      <c r="O73" s="77">
        <v>208333.33333333334</v>
      </c>
      <c r="P73" s="77">
        <v>208333.33333333334</v>
      </c>
      <c r="Q73" s="77">
        <v>208333.33333333334</v>
      </c>
      <c r="R73" s="116">
        <f t="shared" si="70"/>
        <v>997390</v>
      </c>
      <c r="S73" s="77">
        <f t="shared" si="71"/>
        <v>123620</v>
      </c>
      <c r="T73" s="77">
        <f t="shared" si="71"/>
        <v>125775</v>
      </c>
      <c r="U73" s="77">
        <f t="shared" si="71"/>
        <v>104480</v>
      </c>
      <c r="V73" s="77">
        <f t="shared" si="71"/>
        <v>117480</v>
      </c>
      <c r="W73" s="77">
        <f t="shared" si="71"/>
        <v>131370</v>
      </c>
      <c r="X73" s="77">
        <f t="shared" si="71"/>
        <v>115940</v>
      </c>
      <c r="Y73" s="77">
        <f t="shared" si="71"/>
        <v>126515</v>
      </c>
      <c r="Z73" s="77">
        <f t="shared" si="71"/>
        <v>119485</v>
      </c>
      <c r="AA73" s="77">
        <f t="shared" si="71"/>
        <v>0</v>
      </c>
      <c r="AB73" s="77">
        <f t="shared" si="71"/>
        <v>32725</v>
      </c>
      <c r="AC73" s="77">
        <f t="shared" si="71"/>
        <v>0</v>
      </c>
      <c r="AD73" s="77">
        <f t="shared" si="71"/>
        <v>0</v>
      </c>
      <c r="AE73" s="116">
        <f t="shared" si="72"/>
        <v>1502610</v>
      </c>
      <c r="AF73" s="77">
        <f t="shared" si="73"/>
        <v>84713.333333333343</v>
      </c>
      <c r="AG73" s="77">
        <f t="shared" si="74"/>
        <v>82558.333333333343</v>
      </c>
      <c r="AH73" s="77">
        <f t="shared" si="75"/>
        <v>103853.33333333334</v>
      </c>
      <c r="AI73" s="77">
        <f t="shared" si="76"/>
        <v>90853.333333333343</v>
      </c>
      <c r="AJ73" s="77">
        <f t="shared" si="77"/>
        <v>76963.333333333343</v>
      </c>
      <c r="AK73" s="77">
        <f t="shared" si="78"/>
        <v>92393.333333333343</v>
      </c>
      <c r="AL73" s="77">
        <f t="shared" si="79"/>
        <v>81818.333333333343</v>
      </c>
      <c r="AM73" s="77">
        <f t="shared" si="80"/>
        <v>88848.333333333343</v>
      </c>
      <c r="AN73" s="77">
        <f t="shared" si="81"/>
        <v>208333.33333333334</v>
      </c>
      <c r="AO73" s="77">
        <f t="shared" si="82"/>
        <v>175608.33333333334</v>
      </c>
      <c r="AP73" s="77">
        <f t="shared" si="83"/>
        <v>208333.33333333334</v>
      </c>
      <c r="AQ73" s="77">
        <f t="shared" si="84"/>
        <v>208333.33333333334</v>
      </c>
      <c r="AS73" s="17"/>
    </row>
    <row r="74" spans="2:45" x14ac:dyDescent="0.35">
      <c r="B74" s="18" t="s">
        <v>36</v>
      </c>
      <c r="C74"/>
      <c r="D74"/>
      <c r="E74" s="116">
        <f t="shared" si="69"/>
        <v>145000</v>
      </c>
      <c r="F74" s="77">
        <v>12083.333333333334</v>
      </c>
      <c r="G74" s="77">
        <v>12083.333333333334</v>
      </c>
      <c r="H74" s="77">
        <v>12083.333333333334</v>
      </c>
      <c r="I74" s="77">
        <v>12083.333333333334</v>
      </c>
      <c r="J74" s="77">
        <v>12083.333333333334</v>
      </c>
      <c r="K74" s="77">
        <v>12083.333333333334</v>
      </c>
      <c r="L74" s="77">
        <v>12083.333333333334</v>
      </c>
      <c r="M74" s="77">
        <v>12083.333333333334</v>
      </c>
      <c r="N74" s="77">
        <v>12083.333333333334</v>
      </c>
      <c r="O74" s="77">
        <v>12083.333333333334</v>
      </c>
      <c r="P74" s="77">
        <v>12083.333333333334</v>
      </c>
      <c r="Q74" s="77">
        <v>12083.333333333334</v>
      </c>
      <c r="R74" s="116">
        <f t="shared" si="70"/>
        <v>121831</v>
      </c>
      <c r="S74" s="77">
        <f t="shared" si="71"/>
        <v>0</v>
      </c>
      <c r="T74" s="77">
        <f t="shared" si="71"/>
        <v>9306</v>
      </c>
      <c r="U74" s="77">
        <f t="shared" si="71"/>
        <v>9335</v>
      </c>
      <c r="V74" s="77">
        <f t="shared" si="71"/>
        <v>9306</v>
      </c>
      <c r="W74" s="77">
        <f t="shared" si="71"/>
        <v>9510</v>
      </c>
      <c r="X74" s="77">
        <f t="shared" si="71"/>
        <v>18324</v>
      </c>
      <c r="Y74" s="77">
        <f t="shared" si="71"/>
        <v>41150</v>
      </c>
      <c r="Z74" s="77">
        <f t="shared" si="71"/>
        <v>8300</v>
      </c>
      <c r="AA74" s="77">
        <f t="shared" si="71"/>
        <v>8300</v>
      </c>
      <c r="AB74" s="77">
        <f t="shared" si="71"/>
        <v>8300</v>
      </c>
      <c r="AC74" s="77">
        <f t="shared" si="71"/>
        <v>0</v>
      </c>
      <c r="AD74" s="77">
        <f t="shared" si="71"/>
        <v>0</v>
      </c>
      <c r="AE74" s="116">
        <f t="shared" si="72"/>
        <v>23169</v>
      </c>
      <c r="AF74" s="77">
        <f t="shared" si="73"/>
        <v>12083.333333333334</v>
      </c>
      <c r="AG74" s="77">
        <f t="shared" si="74"/>
        <v>2777.3333333333339</v>
      </c>
      <c r="AH74" s="77">
        <f t="shared" si="75"/>
        <v>2748.3333333333339</v>
      </c>
      <c r="AI74" s="77">
        <f t="shared" si="76"/>
        <v>2777.3333333333339</v>
      </c>
      <c r="AJ74" s="77">
        <f t="shared" si="77"/>
        <v>2573.3333333333339</v>
      </c>
      <c r="AK74" s="77">
        <f t="shared" si="78"/>
        <v>-6240.6666666666661</v>
      </c>
      <c r="AL74" s="77">
        <f t="shared" si="79"/>
        <v>-29066.666666666664</v>
      </c>
      <c r="AM74" s="77">
        <f t="shared" si="80"/>
        <v>3783.3333333333339</v>
      </c>
      <c r="AN74" s="77">
        <f t="shared" si="81"/>
        <v>3783.3333333333339</v>
      </c>
      <c r="AO74" s="77">
        <f t="shared" si="82"/>
        <v>3783.3333333333339</v>
      </c>
      <c r="AP74" s="77">
        <f t="shared" si="83"/>
        <v>12083.333333333334</v>
      </c>
      <c r="AQ74" s="77">
        <f t="shared" si="84"/>
        <v>12083.333333333334</v>
      </c>
      <c r="AS74" s="17"/>
    </row>
    <row r="75" spans="2:45" x14ac:dyDescent="0.35">
      <c r="B75" s="18" t="s">
        <v>75</v>
      </c>
      <c r="C75"/>
      <c r="D75"/>
      <c r="E75" s="116">
        <f t="shared" si="69"/>
        <v>780000</v>
      </c>
      <c r="F75" s="77">
        <v>65000</v>
      </c>
      <c r="G75" s="77">
        <v>65000</v>
      </c>
      <c r="H75" s="77">
        <v>65000</v>
      </c>
      <c r="I75" s="77">
        <v>65000</v>
      </c>
      <c r="J75" s="77">
        <v>65000</v>
      </c>
      <c r="K75" s="77">
        <v>65000</v>
      </c>
      <c r="L75" s="77">
        <v>65000</v>
      </c>
      <c r="M75" s="77">
        <v>65000</v>
      </c>
      <c r="N75" s="77">
        <v>65000</v>
      </c>
      <c r="O75" s="77">
        <v>65000</v>
      </c>
      <c r="P75" s="77">
        <v>65000</v>
      </c>
      <c r="Q75" s="77">
        <v>65000</v>
      </c>
      <c r="R75" s="116">
        <f t="shared" si="70"/>
        <v>846944</v>
      </c>
      <c r="S75" s="77">
        <f t="shared" si="71"/>
        <v>53500</v>
      </c>
      <c r="T75" s="77">
        <f t="shared" si="71"/>
        <v>0</v>
      </c>
      <c r="U75" s="77">
        <f t="shared" si="71"/>
        <v>5703</v>
      </c>
      <c r="V75" s="77">
        <f t="shared" si="71"/>
        <v>560</v>
      </c>
      <c r="W75" s="77">
        <f t="shared" si="71"/>
        <v>1140</v>
      </c>
      <c r="X75" s="77">
        <f t="shared" si="71"/>
        <v>488260</v>
      </c>
      <c r="Y75" s="77">
        <f t="shared" si="71"/>
        <v>28299</v>
      </c>
      <c r="Z75" s="77">
        <f t="shared" si="71"/>
        <v>13500</v>
      </c>
      <c r="AA75" s="77">
        <f t="shared" si="71"/>
        <v>255982</v>
      </c>
      <c r="AB75" s="77">
        <f t="shared" si="71"/>
        <v>0</v>
      </c>
      <c r="AC75" s="77">
        <f t="shared" si="71"/>
        <v>0</v>
      </c>
      <c r="AD75" s="77">
        <f t="shared" si="71"/>
        <v>0</v>
      </c>
      <c r="AE75" s="116">
        <f t="shared" si="72"/>
        <v>-66944</v>
      </c>
      <c r="AF75" s="77">
        <f t="shared" si="73"/>
        <v>11500</v>
      </c>
      <c r="AG75" s="77">
        <f t="shared" si="74"/>
        <v>65000</v>
      </c>
      <c r="AH75" s="77">
        <f t="shared" si="75"/>
        <v>59297</v>
      </c>
      <c r="AI75" s="77">
        <f t="shared" si="76"/>
        <v>64440</v>
      </c>
      <c r="AJ75" s="77">
        <f t="shared" si="77"/>
        <v>63860</v>
      </c>
      <c r="AK75" s="77">
        <f t="shared" si="78"/>
        <v>-423260</v>
      </c>
      <c r="AL75" s="77">
        <f t="shared" si="79"/>
        <v>36701</v>
      </c>
      <c r="AM75" s="77">
        <f t="shared" si="80"/>
        <v>51500</v>
      </c>
      <c r="AN75" s="77">
        <f t="shared" si="81"/>
        <v>-190982</v>
      </c>
      <c r="AO75" s="77">
        <f t="shared" si="82"/>
        <v>65000</v>
      </c>
      <c r="AP75" s="77">
        <f t="shared" si="83"/>
        <v>65000</v>
      </c>
      <c r="AQ75" s="77">
        <f t="shared" si="84"/>
        <v>65000</v>
      </c>
      <c r="AS75" s="17"/>
    </row>
    <row r="76" spans="2:45" x14ac:dyDescent="0.35">
      <c r="B76" s="18" t="s">
        <v>45</v>
      </c>
      <c r="C76"/>
      <c r="D76"/>
      <c r="E76" s="116">
        <f t="shared" si="69"/>
        <v>549999.99999999988</v>
      </c>
      <c r="F76" s="77">
        <v>45833.333333333336</v>
      </c>
      <c r="G76" s="77">
        <v>45833.333333333336</v>
      </c>
      <c r="H76" s="77">
        <v>45833.333333333336</v>
      </c>
      <c r="I76" s="77">
        <v>45833.333333333336</v>
      </c>
      <c r="J76" s="77">
        <v>45833.333333333336</v>
      </c>
      <c r="K76" s="77">
        <v>45833.333333333336</v>
      </c>
      <c r="L76" s="77">
        <v>45833.333333333336</v>
      </c>
      <c r="M76" s="77">
        <v>45833.333333333336</v>
      </c>
      <c r="N76" s="77">
        <v>45833.333333333336</v>
      </c>
      <c r="O76" s="77">
        <v>45833.333333333336</v>
      </c>
      <c r="P76" s="77">
        <v>45833.333333333336</v>
      </c>
      <c r="Q76" s="77">
        <v>45833.333333333336</v>
      </c>
      <c r="R76" s="116">
        <f t="shared" si="70"/>
        <v>553263</v>
      </c>
      <c r="S76" s="77">
        <f t="shared" si="71"/>
        <v>37375</v>
      </c>
      <c r="T76" s="77">
        <f t="shared" si="71"/>
        <v>0</v>
      </c>
      <c r="U76" s="77">
        <f t="shared" si="71"/>
        <v>75885</v>
      </c>
      <c r="V76" s="77">
        <f t="shared" si="71"/>
        <v>101576</v>
      </c>
      <c r="W76" s="77">
        <f t="shared" si="71"/>
        <v>72541</v>
      </c>
      <c r="X76" s="77">
        <f t="shared" si="71"/>
        <v>89695</v>
      </c>
      <c r="Y76" s="77">
        <f t="shared" si="71"/>
        <v>71841</v>
      </c>
      <c r="Z76" s="77">
        <f t="shared" si="71"/>
        <v>104350</v>
      </c>
      <c r="AA76" s="77">
        <f t="shared" si="71"/>
        <v>0</v>
      </c>
      <c r="AB76" s="77">
        <f t="shared" si="71"/>
        <v>0</v>
      </c>
      <c r="AC76" s="77">
        <f t="shared" si="71"/>
        <v>0</v>
      </c>
      <c r="AD76" s="77">
        <f t="shared" si="71"/>
        <v>0</v>
      </c>
      <c r="AE76" s="116">
        <f t="shared" si="72"/>
        <v>-3263.0000000001164</v>
      </c>
      <c r="AF76" s="77">
        <f t="shared" si="73"/>
        <v>8458.3333333333358</v>
      </c>
      <c r="AG76" s="77">
        <f t="shared" si="74"/>
        <v>45833.333333333336</v>
      </c>
      <c r="AH76" s="77">
        <f t="shared" si="75"/>
        <v>-30051.666666666664</v>
      </c>
      <c r="AI76" s="77">
        <f t="shared" si="76"/>
        <v>-55742.666666666664</v>
      </c>
      <c r="AJ76" s="77">
        <f t="shared" si="77"/>
        <v>-26707.666666666664</v>
      </c>
      <c r="AK76" s="77">
        <f t="shared" si="78"/>
        <v>-43861.666666666664</v>
      </c>
      <c r="AL76" s="77">
        <f t="shared" si="79"/>
        <v>-26007.666666666664</v>
      </c>
      <c r="AM76" s="77">
        <f t="shared" si="80"/>
        <v>-58516.666666666664</v>
      </c>
      <c r="AN76" s="77">
        <f t="shared" si="81"/>
        <v>45833.333333333336</v>
      </c>
      <c r="AO76" s="77">
        <f t="shared" si="82"/>
        <v>45833.333333333336</v>
      </c>
      <c r="AP76" s="77">
        <f t="shared" si="83"/>
        <v>45833.333333333336</v>
      </c>
      <c r="AQ76" s="77">
        <f t="shared" si="84"/>
        <v>45833.333333333336</v>
      </c>
      <c r="AS76" s="17"/>
    </row>
    <row r="77" spans="2:45" x14ac:dyDescent="0.35">
      <c r="B77" s="53" t="s">
        <v>76</v>
      </c>
      <c r="C77" s="76"/>
      <c r="D77" s="76"/>
      <c r="E77" s="117">
        <f t="shared" si="69"/>
        <v>2000000.0000000002</v>
      </c>
      <c r="F77" s="80">
        <v>166666.66666666666</v>
      </c>
      <c r="G77" s="80">
        <v>166666.66666666666</v>
      </c>
      <c r="H77" s="80">
        <v>166666.66666666666</v>
      </c>
      <c r="I77" s="80">
        <v>166666.66666666666</v>
      </c>
      <c r="J77" s="80">
        <v>166666.66666666666</v>
      </c>
      <c r="K77" s="80">
        <v>166666.66666666666</v>
      </c>
      <c r="L77" s="80">
        <v>166666.66666666666</v>
      </c>
      <c r="M77" s="80">
        <v>166666.66666666666</v>
      </c>
      <c r="N77" s="80">
        <v>166666.66666666666</v>
      </c>
      <c r="O77" s="80">
        <v>166666.66666666666</v>
      </c>
      <c r="P77" s="80">
        <v>166666.66666666666</v>
      </c>
      <c r="Q77" s="80">
        <v>166666.66666666666</v>
      </c>
      <c r="R77" s="117">
        <f t="shared" si="70"/>
        <v>4038871.5400000014</v>
      </c>
      <c r="S77" s="78">
        <f t="shared" ref="S77:AD77" si="85">IFERROR(SUMIFS(Skutecnost,Skupina,$B77,Rok,S$4,Mesic,S$5)*-1,0)</f>
        <v>-399690.37</v>
      </c>
      <c r="T77" s="78">
        <f t="shared" si="85"/>
        <v>2502688.4500000002</v>
      </c>
      <c r="U77" s="78">
        <f t="shared" si="85"/>
        <v>-3075691.5</v>
      </c>
      <c r="V77" s="78">
        <f t="shared" si="85"/>
        <v>4304450.3500000006</v>
      </c>
      <c r="W77" s="78">
        <f t="shared" si="85"/>
        <v>604534.00000000047</v>
      </c>
      <c r="X77" s="78">
        <f t="shared" si="85"/>
        <v>3897915.99</v>
      </c>
      <c r="Y77" s="78">
        <f t="shared" si="85"/>
        <v>-5951152.6200000001</v>
      </c>
      <c r="Z77" s="78">
        <f t="shared" si="85"/>
        <v>2418055.8800000004</v>
      </c>
      <c r="AA77" s="78">
        <f t="shared" si="85"/>
        <v>-262238.64</v>
      </c>
      <c r="AB77" s="78">
        <f t="shared" si="85"/>
        <v>0</v>
      </c>
      <c r="AC77" s="78">
        <f t="shared" si="85"/>
        <v>0</v>
      </c>
      <c r="AD77" s="78">
        <f t="shared" si="85"/>
        <v>0</v>
      </c>
      <c r="AE77" s="117">
        <f t="shared" si="72"/>
        <v>-2038871.5400000012</v>
      </c>
      <c r="AF77" s="80">
        <f t="shared" si="73"/>
        <v>566357.03666666662</v>
      </c>
      <c r="AG77" s="80">
        <f t="shared" si="74"/>
        <v>-2336021.7833333337</v>
      </c>
      <c r="AH77" s="78">
        <f t="shared" si="75"/>
        <v>3242358.1666666665</v>
      </c>
      <c r="AI77" s="78">
        <f t="shared" si="76"/>
        <v>-4137783.683333334</v>
      </c>
      <c r="AJ77" s="78">
        <f t="shared" si="77"/>
        <v>-437867.33333333384</v>
      </c>
      <c r="AK77" s="78">
        <f t="shared" si="78"/>
        <v>-3731249.3233333337</v>
      </c>
      <c r="AL77" s="78">
        <f t="shared" si="79"/>
        <v>6117819.2866666671</v>
      </c>
      <c r="AM77" s="78">
        <f t="shared" si="80"/>
        <v>-2251389.2133333338</v>
      </c>
      <c r="AN77" s="78">
        <f t="shared" si="81"/>
        <v>428905.30666666664</v>
      </c>
      <c r="AO77" s="78">
        <f t="shared" si="82"/>
        <v>166666.66666666666</v>
      </c>
      <c r="AP77" s="78">
        <f t="shared" si="83"/>
        <v>166666.66666666666</v>
      </c>
      <c r="AQ77" s="78">
        <f t="shared" si="84"/>
        <v>166666.66666666666</v>
      </c>
      <c r="AS77" s="56"/>
    </row>
    <row r="78" spans="2:45" x14ac:dyDescent="0.35">
      <c r="B78" s="52" t="s">
        <v>77</v>
      </c>
      <c r="C78" s="75"/>
      <c r="D78" s="75"/>
      <c r="E78" s="119">
        <f t="shared" si="69"/>
        <v>74360000</v>
      </c>
      <c r="F78" s="85">
        <v>6196666.666666667</v>
      </c>
      <c r="G78" s="85">
        <v>6196666.666666667</v>
      </c>
      <c r="H78" s="85">
        <v>6196666.666666667</v>
      </c>
      <c r="I78" s="85">
        <v>6196666.666666667</v>
      </c>
      <c r="J78" s="85">
        <v>6196666.666666667</v>
      </c>
      <c r="K78" s="85">
        <v>6196666.666666667</v>
      </c>
      <c r="L78" s="85">
        <v>6196666.666666667</v>
      </c>
      <c r="M78" s="85">
        <v>6196666.666666667</v>
      </c>
      <c r="N78" s="85">
        <v>6196666.666666667</v>
      </c>
      <c r="O78" s="85">
        <v>6196666.666666667</v>
      </c>
      <c r="P78" s="85">
        <v>6196666.666666667</v>
      </c>
      <c r="Q78" s="85">
        <v>6196666.666666667</v>
      </c>
      <c r="R78" s="119">
        <f t="shared" si="70"/>
        <v>78373034.709999993</v>
      </c>
      <c r="S78" s="81">
        <f t="shared" ref="S78:X78" si="86">S77+S70+S69+S68+S64+S54</f>
        <v>5076291.6300000008</v>
      </c>
      <c r="T78" s="81">
        <f t="shared" si="86"/>
        <v>8335511.6399999997</v>
      </c>
      <c r="U78" s="81">
        <f t="shared" si="86"/>
        <v>6932693.5999999996</v>
      </c>
      <c r="V78" s="81">
        <f t="shared" si="86"/>
        <v>12257788.280000001</v>
      </c>
      <c r="W78" s="81">
        <f t="shared" si="86"/>
        <v>8844406.4000000004</v>
      </c>
      <c r="X78" s="81">
        <f t="shared" si="86"/>
        <v>11555827.460000001</v>
      </c>
      <c r="Y78" s="81">
        <f t="shared" ref="Y78:AD78" si="87">Y77+Y70+Y69+Y68+Y64+Y54</f>
        <v>7007261.0099999988</v>
      </c>
      <c r="Z78" s="81">
        <f t="shared" si="87"/>
        <v>12147427.310000001</v>
      </c>
      <c r="AA78" s="81">
        <f t="shared" si="87"/>
        <v>5802663.6699999999</v>
      </c>
      <c r="AB78" s="81">
        <f t="shared" si="87"/>
        <v>413163.71</v>
      </c>
      <c r="AC78" s="81">
        <f t="shared" si="87"/>
        <v>0</v>
      </c>
      <c r="AD78" s="81">
        <f t="shared" si="87"/>
        <v>0</v>
      </c>
      <c r="AE78" s="119">
        <f t="shared" si="72"/>
        <v>-4013034.7099999934</v>
      </c>
      <c r="AF78" s="85">
        <f t="shared" si="73"/>
        <v>1120375.0366666662</v>
      </c>
      <c r="AG78" s="85">
        <f t="shared" si="74"/>
        <v>-2138844.9733333327</v>
      </c>
      <c r="AH78" s="81">
        <f t="shared" si="75"/>
        <v>-736026.93333333265</v>
      </c>
      <c r="AI78" s="81">
        <f t="shared" si="76"/>
        <v>-6061121.6133333342</v>
      </c>
      <c r="AJ78" s="81">
        <f t="shared" si="77"/>
        <v>-2647739.7333333334</v>
      </c>
      <c r="AK78" s="81">
        <f t="shared" si="78"/>
        <v>-5359160.7933333339</v>
      </c>
      <c r="AL78" s="81">
        <f t="shared" si="79"/>
        <v>-810594.34333333187</v>
      </c>
      <c r="AM78" s="81">
        <f t="shared" si="80"/>
        <v>-5950760.6433333335</v>
      </c>
      <c r="AN78" s="81">
        <f t="shared" si="81"/>
        <v>394002.99666666705</v>
      </c>
      <c r="AO78" s="81">
        <f t="shared" si="82"/>
        <v>5783502.956666667</v>
      </c>
      <c r="AP78" s="81">
        <f t="shared" si="83"/>
        <v>6196666.666666667</v>
      </c>
      <c r="AQ78" s="81">
        <f t="shared" si="84"/>
        <v>6196666.666666667</v>
      </c>
      <c r="AS78" s="58"/>
    </row>
    <row r="79" spans="2:45" x14ac:dyDescent="0.35">
      <c r="B79" s="52" t="s">
        <v>78</v>
      </c>
      <c r="C79" s="75"/>
      <c r="D79" s="75"/>
      <c r="E79" s="119">
        <f t="shared" si="69"/>
        <v>156894020</v>
      </c>
      <c r="F79" s="85">
        <v>13074501.666666666</v>
      </c>
      <c r="G79" s="85">
        <v>13074501.666666666</v>
      </c>
      <c r="H79" s="85">
        <v>13074501.666666666</v>
      </c>
      <c r="I79" s="85">
        <v>13074501.666666666</v>
      </c>
      <c r="J79" s="85">
        <v>13074501.666666666</v>
      </c>
      <c r="K79" s="85">
        <v>13074501.666666666</v>
      </c>
      <c r="L79" s="85">
        <v>13074501.666666666</v>
      </c>
      <c r="M79" s="85">
        <v>13074501.666666666</v>
      </c>
      <c r="N79" s="85">
        <v>13074501.666666666</v>
      </c>
      <c r="O79" s="85">
        <v>13074501.666666666</v>
      </c>
      <c r="P79" s="85">
        <v>13074501.666666666</v>
      </c>
      <c r="Q79" s="85">
        <v>13074501.666666666</v>
      </c>
      <c r="R79" s="119">
        <f t="shared" si="70"/>
        <v>134930971.11000001</v>
      </c>
      <c r="S79" s="81">
        <f t="shared" ref="S79:X79" si="88">S78+S51</f>
        <v>10738890.030000001</v>
      </c>
      <c r="T79" s="81">
        <f t="shared" si="88"/>
        <v>14711683.640000001</v>
      </c>
      <c r="U79" s="81">
        <f t="shared" si="88"/>
        <v>13629992</v>
      </c>
      <c r="V79" s="81">
        <f t="shared" si="88"/>
        <v>19081888.080000002</v>
      </c>
      <c r="W79" s="81">
        <f t="shared" si="88"/>
        <v>15183608.4</v>
      </c>
      <c r="X79" s="81">
        <f t="shared" si="88"/>
        <v>19096126.460000001</v>
      </c>
      <c r="Y79" s="81">
        <f t="shared" ref="Y79" si="89">Y78+Y51</f>
        <v>14119104.009999998</v>
      </c>
      <c r="Z79" s="81">
        <f t="shared" ref="Z79:AD79" si="90">Z78+Z51</f>
        <v>20192726.310000002</v>
      </c>
      <c r="AA79" s="81">
        <f t="shared" si="90"/>
        <v>7007310.4699999997</v>
      </c>
      <c r="AB79" s="81">
        <f t="shared" si="90"/>
        <v>1169641.71</v>
      </c>
      <c r="AC79" s="81">
        <f t="shared" si="90"/>
        <v>0</v>
      </c>
      <c r="AD79" s="81">
        <f t="shared" si="90"/>
        <v>0</v>
      </c>
      <c r="AE79" s="119">
        <f t="shared" si="72"/>
        <v>21963048.889999986</v>
      </c>
      <c r="AF79" s="85">
        <f t="shared" si="73"/>
        <v>2335611.6366666649</v>
      </c>
      <c r="AG79" s="85">
        <f t="shared" si="74"/>
        <v>-1637181.9733333346</v>
      </c>
      <c r="AH79" s="81">
        <f t="shared" si="75"/>
        <v>-555490.33333333395</v>
      </c>
      <c r="AI79" s="81">
        <f t="shared" si="76"/>
        <v>-6007386.4133333359</v>
      </c>
      <c r="AJ79" s="81">
        <f t="shared" si="77"/>
        <v>-2109106.7333333343</v>
      </c>
      <c r="AK79" s="81">
        <f t="shared" si="78"/>
        <v>-6021624.7933333348</v>
      </c>
      <c r="AL79" s="81">
        <f t="shared" si="79"/>
        <v>-1044602.3433333319</v>
      </c>
      <c r="AM79" s="81">
        <f t="shared" si="80"/>
        <v>-7118224.6433333363</v>
      </c>
      <c r="AN79" s="81">
        <f t="shared" si="81"/>
        <v>6067191.1966666663</v>
      </c>
      <c r="AO79" s="81">
        <f t="shared" si="82"/>
        <v>11904859.956666667</v>
      </c>
      <c r="AP79" s="81">
        <f t="shared" si="83"/>
        <v>13074501.666666666</v>
      </c>
      <c r="AQ79" s="81">
        <f t="shared" si="84"/>
        <v>13074501.666666666</v>
      </c>
      <c r="AS79" s="58"/>
    </row>
    <row r="80" spans="2:45" x14ac:dyDescent="0.35">
      <c r="B80" s="62" t="s">
        <v>116</v>
      </c>
      <c r="C80" s="86"/>
      <c r="D80" s="86"/>
      <c r="E80" s="121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121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121">
        <f t="shared" si="72"/>
        <v>0</v>
      </c>
      <c r="AF80" s="87">
        <f t="shared" si="73"/>
        <v>0</v>
      </c>
      <c r="AG80" s="87">
        <f t="shared" si="74"/>
        <v>0</v>
      </c>
      <c r="AH80" s="87">
        <f t="shared" si="75"/>
        <v>0</v>
      </c>
      <c r="AI80" s="87">
        <f t="shared" si="76"/>
        <v>0</v>
      </c>
      <c r="AJ80" s="87">
        <f t="shared" si="77"/>
        <v>0</v>
      </c>
      <c r="AK80" s="87">
        <f t="shared" si="78"/>
        <v>0</v>
      </c>
      <c r="AL80" s="87">
        <f t="shared" si="79"/>
        <v>0</v>
      </c>
      <c r="AM80" s="87">
        <f t="shared" si="80"/>
        <v>0</v>
      </c>
      <c r="AN80" s="87">
        <f t="shared" si="81"/>
        <v>0</v>
      </c>
      <c r="AO80" s="87">
        <f t="shared" si="82"/>
        <v>0</v>
      </c>
      <c r="AP80" s="87">
        <f t="shared" si="83"/>
        <v>0</v>
      </c>
      <c r="AQ80" s="87">
        <f t="shared" si="84"/>
        <v>0</v>
      </c>
      <c r="AS80" s="63"/>
    </row>
    <row r="81" spans="2:45" x14ac:dyDescent="0.35">
      <c r="B81" s="18" t="s">
        <v>115</v>
      </c>
      <c r="C81"/>
      <c r="D81"/>
      <c r="E81" s="116">
        <f>SUM(F81:Q81)</f>
        <v>0</v>
      </c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116">
        <f>SUM(S81:AD81)</f>
        <v>0</v>
      </c>
      <c r="S81" s="77">
        <f t="shared" ref="S81:AD83" si="91">IFERROR(SUMIFS(Skutecnost,Skupina,$B81,Rok,S$4,Mesic,S$5),0)</f>
        <v>0</v>
      </c>
      <c r="T81" s="77">
        <f t="shared" si="91"/>
        <v>0</v>
      </c>
      <c r="U81" s="77">
        <f t="shared" si="91"/>
        <v>0</v>
      </c>
      <c r="V81" s="77">
        <f t="shared" si="91"/>
        <v>0</v>
      </c>
      <c r="W81" s="77">
        <f t="shared" si="91"/>
        <v>0</v>
      </c>
      <c r="X81" s="77">
        <f t="shared" si="91"/>
        <v>0</v>
      </c>
      <c r="Y81" s="77">
        <f t="shared" si="91"/>
        <v>0</v>
      </c>
      <c r="Z81" s="77">
        <f t="shared" si="91"/>
        <v>0</v>
      </c>
      <c r="AA81" s="77">
        <f t="shared" si="91"/>
        <v>0</v>
      </c>
      <c r="AB81" s="77">
        <f t="shared" si="91"/>
        <v>0</v>
      </c>
      <c r="AC81" s="77">
        <f t="shared" si="91"/>
        <v>0</v>
      </c>
      <c r="AD81" s="77">
        <f t="shared" si="91"/>
        <v>0</v>
      </c>
      <c r="AE81" s="116">
        <f t="shared" si="72"/>
        <v>0</v>
      </c>
      <c r="AF81" s="77">
        <f t="shared" si="73"/>
        <v>0</v>
      </c>
      <c r="AG81" s="77">
        <f t="shared" si="74"/>
        <v>0</v>
      </c>
      <c r="AH81" s="77">
        <f t="shared" si="75"/>
        <v>0</v>
      </c>
      <c r="AI81" s="77">
        <f t="shared" si="76"/>
        <v>0</v>
      </c>
      <c r="AJ81" s="77">
        <f t="shared" si="77"/>
        <v>0</v>
      </c>
      <c r="AK81" s="77">
        <f t="shared" si="78"/>
        <v>0</v>
      </c>
      <c r="AL81" s="77">
        <f t="shared" si="79"/>
        <v>0</v>
      </c>
      <c r="AM81" s="77">
        <f t="shared" si="80"/>
        <v>0</v>
      </c>
      <c r="AN81" s="77">
        <f t="shared" si="81"/>
        <v>0</v>
      </c>
      <c r="AO81" s="77">
        <f t="shared" si="82"/>
        <v>0</v>
      </c>
      <c r="AP81" s="77">
        <f t="shared" si="83"/>
        <v>0</v>
      </c>
      <c r="AQ81" s="77">
        <f t="shared" si="84"/>
        <v>0</v>
      </c>
      <c r="AS81" s="17"/>
    </row>
    <row r="82" spans="2:45" x14ac:dyDescent="0.35">
      <c r="B82" s="18" t="s">
        <v>114</v>
      </c>
      <c r="C82"/>
      <c r="D82"/>
      <c r="E82" s="116">
        <f>SUM(F82:Q82)</f>
        <v>0</v>
      </c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116">
        <f>SUM(S82:AD82)</f>
        <v>8275</v>
      </c>
      <c r="S82" s="77">
        <f t="shared" si="91"/>
        <v>1570</v>
      </c>
      <c r="T82" s="77">
        <f t="shared" si="91"/>
        <v>343</v>
      </c>
      <c r="U82" s="77">
        <f t="shared" si="91"/>
        <v>5601</v>
      </c>
      <c r="V82" s="77">
        <f t="shared" si="91"/>
        <v>0</v>
      </c>
      <c r="W82" s="77">
        <f t="shared" si="91"/>
        <v>0</v>
      </c>
      <c r="X82" s="77">
        <f t="shared" si="91"/>
        <v>0</v>
      </c>
      <c r="Y82" s="77">
        <f t="shared" si="91"/>
        <v>487</v>
      </c>
      <c r="Z82" s="77">
        <f t="shared" si="91"/>
        <v>274</v>
      </c>
      <c r="AA82" s="77">
        <f t="shared" si="91"/>
        <v>0</v>
      </c>
      <c r="AB82" s="77">
        <f t="shared" si="91"/>
        <v>0</v>
      </c>
      <c r="AC82" s="77">
        <f t="shared" si="91"/>
        <v>0</v>
      </c>
      <c r="AD82" s="77">
        <f t="shared" si="91"/>
        <v>0</v>
      </c>
      <c r="AE82" s="116">
        <f t="shared" si="72"/>
        <v>-8275</v>
      </c>
      <c r="AF82" s="77">
        <f t="shared" si="73"/>
        <v>-1570</v>
      </c>
      <c r="AG82" s="77">
        <f t="shared" si="74"/>
        <v>-343</v>
      </c>
      <c r="AH82" s="77">
        <f t="shared" si="75"/>
        <v>-5601</v>
      </c>
      <c r="AI82" s="77">
        <f t="shared" si="76"/>
        <v>0</v>
      </c>
      <c r="AJ82" s="77">
        <f t="shared" si="77"/>
        <v>0</v>
      </c>
      <c r="AK82" s="77">
        <f t="shared" si="78"/>
        <v>0</v>
      </c>
      <c r="AL82" s="77">
        <f t="shared" si="79"/>
        <v>-487</v>
      </c>
      <c r="AM82" s="77">
        <f t="shared" si="80"/>
        <v>-274</v>
      </c>
      <c r="AN82" s="77">
        <f t="shared" si="81"/>
        <v>0</v>
      </c>
      <c r="AO82" s="77">
        <f t="shared" si="82"/>
        <v>0</v>
      </c>
      <c r="AP82" s="77">
        <f t="shared" si="83"/>
        <v>0</v>
      </c>
      <c r="AQ82" s="77">
        <f t="shared" si="84"/>
        <v>0</v>
      </c>
      <c r="AS82" s="17"/>
    </row>
    <row r="83" spans="2:45" x14ac:dyDescent="0.35">
      <c r="B83" s="60" t="s">
        <v>79</v>
      </c>
      <c r="C83" s="82"/>
      <c r="D83" s="82"/>
      <c r="E83" s="120">
        <f t="shared" si="69"/>
        <v>0</v>
      </c>
      <c r="F83" s="83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120">
        <f t="shared" si="70"/>
        <v>0</v>
      </c>
      <c r="S83" s="84">
        <f t="shared" si="91"/>
        <v>0</v>
      </c>
      <c r="T83" s="84">
        <f t="shared" si="91"/>
        <v>0</v>
      </c>
      <c r="U83" s="84">
        <f t="shared" si="91"/>
        <v>0</v>
      </c>
      <c r="V83" s="84">
        <f t="shared" si="91"/>
        <v>0</v>
      </c>
      <c r="W83" s="84">
        <f t="shared" si="91"/>
        <v>0</v>
      </c>
      <c r="X83" s="84">
        <f t="shared" si="91"/>
        <v>0</v>
      </c>
      <c r="Y83" s="84">
        <f t="shared" si="91"/>
        <v>0</v>
      </c>
      <c r="Z83" s="84">
        <f t="shared" si="91"/>
        <v>0</v>
      </c>
      <c r="AA83" s="84">
        <f t="shared" si="91"/>
        <v>0</v>
      </c>
      <c r="AB83" s="84">
        <f t="shared" si="91"/>
        <v>0</v>
      </c>
      <c r="AC83" s="84">
        <f t="shared" si="91"/>
        <v>0</v>
      </c>
      <c r="AD83" s="84">
        <f t="shared" si="91"/>
        <v>0</v>
      </c>
      <c r="AE83" s="120">
        <f t="shared" si="72"/>
        <v>0</v>
      </c>
      <c r="AF83" s="83">
        <f t="shared" si="73"/>
        <v>0</v>
      </c>
      <c r="AG83" s="83">
        <f t="shared" si="74"/>
        <v>0</v>
      </c>
      <c r="AH83" s="84">
        <f t="shared" si="75"/>
        <v>0</v>
      </c>
      <c r="AI83" s="84">
        <f t="shared" si="76"/>
        <v>0</v>
      </c>
      <c r="AJ83" s="84">
        <f t="shared" si="77"/>
        <v>0</v>
      </c>
      <c r="AK83" s="84">
        <f t="shared" si="78"/>
        <v>0</v>
      </c>
      <c r="AL83" s="84">
        <f t="shared" si="79"/>
        <v>0</v>
      </c>
      <c r="AM83" s="84">
        <f t="shared" si="80"/>
        <v>0</v>
      </c>
      <c r="AN83" s="84">
        <f t="shared" si="81"/>
        <v>0</v>
      </c>
      <c r="AO83" s="84">
        <f t="shared" si="82"/>
        <v>0</v>
      </c>
      <c r="AP83" s="84">
        <f t="shared" si="83"/>
        <v>0</v>
      </c>
      <c r="AQ83" s="84">
        <f t="shared" si="84"/>
        <v>0</v>
      </c>
      <c r="AS83" s="98"/>
    </row>
    <row r="84" spans="2:45" x14ac:dyDescent="0.35">
      <c r="B84" s="64" t="s">
        <v>80</v>
      </c>
      <c r="C84" s="88"/>
      <c r="D84" s="88"/>
      <c r="E84" s="122">
        <f t="shared" si="69"/>
        <v>125000000.00000001</v>
      </c>
      <c r="F84" s="89">
        <f>SUM(F85:F86)</f>
        <v>10416666.666666666</v>
      </c>
      <c r="G84" s="89">
        <f t="shared" ref="G84:Q84" si="92">SUM(G85:G86)</f>
        <v>10416666.666666666</v>
      </c>
      <c r="H84" s="89">
        <f t="shared" si="92"/>
        <v>10416666.666666666</v>
      </c>
      <c r="I84" s="89">
        <f t="shared" si="92"/>
        <v>10416666.666666666</v>
      </c>
      <c r="J84" s="89">
        <f t="shared" si="92"/>
        <v>10416666.666666666</v>
      </c>
      <c r="K84" s="89">
        <f t="shared" si="92"/>
        <v>10416666.666666666</v>
      </c>
      <c r="L84" s="89">
        <f t="shared" si="92"/>
        <v>10416666.666666666</v>
      </c>
      <c r="M84" s="89">
        <f t="shared" si="92"/>
        <v>10416666.666666666</v>
      </c>
      <c r="N84" s="89">
        <f t="shared" si="92"/>
        <v>10416666.666666666</v>
      </c>
      <c r="O84" s="89">
        <f t="shared" si="92"/>
        <v>10416666.666666666</v>
      </c>
      <c r="P84" s="89">
        <f t="shared" si="92"/>
        <v>10416666.666666666</v>
      </c>
      <c r="Q84" s="89">
        <f t="shared" si="92"/>
        <v>10416666.666666666</v>
      </c>
      <c r="R84" s="122">
        <f t="shared" si="70"/>
        <v>141362774.54999998</v>
      </c>
      <c r="S84" s="89">
        <f t="shared" ref="S84:X84" si="93">SUM(S85:S86)</f>
        <v>10592190.960000001</v>
      </c>
      <c r="T84" s="89">
        <f t="shared" si="93"/>
        <v>13924249.01</v>
      </c>
      <c r="U84" s="89">
        <f t="shared" si="93"/>
        <v>9317847.0299999993</v>
      </c>
      <c r="V84" s="89">
        <f t="shared" si="93"/>
        <v>31774001.600000001</v>
      </c>
      <c r="W84" s="89">
        <f t="shared" si="93"/>
        <v>22069776</v>
      </c>
      <c r="X84" s="89">
        <f t="shared" si="93"/>
        <v>10941093.720000001</v>
      </c>
      <c r="Y84" s="89">
        <f t="shared" ref="Y84" si="94">SUM(Y85:Y86)</f>
        <v>14656634.6</v>
      </c>
      <c r="Z84" s="89">
        <f t="shared" ref="Z84:AD84" si="95">SUM(Z85:Z86)</f>
        <v>17710150.02</v>
      </c>
      <c r="AA84" s="89">
        <f t="shared" si="95"/>
        <v>10376831.609999999</v>
      </c>
      <c r="AB84" s="89">
        <f t="shared" si="95"/>
        <v>0</v>
      </c>
      <c r="AC84" s="89">
        <f t="shared" si="95"/>
        <v>0</v>
      </c>
      <c r="AD84" s="89">
        <f t="shared" si="95"/>
        <v>0</v>
      </c>
      <c r="AE84" s="122">
        <f t="shared" si="72"/>
        <v>-16362774.549999967</v>
      </c>
      <c r="AF84" s="89">
        <f t="shared" si="73"/>
        <v>-175524.29333333485</v>
      </c>
      <c r="AG84" s="89">
        <f t="shared" si="74"/>
        <v>-3507582.3433333337</v>
      </c>
      <c r="AH84" s="89">
        <f t="shared" si="75"/>
        <v>1098819.6366666667</v>
      </c>
      <c r="AI84" s="89">
        <f t="shared" si="76"/>
        <v>-21357334.933333337</v>
      </c>
      <c r="AJ84" s="89">
        <f t="shared" si="77"/>
        <v>-11653109.333333334</v>
      </c>
      <c r="AK84" s="89">
        <f t="shared" si="78"/>
        <v>-524427.05333333462</v>
      </c>
      <c r="AL84" s="89">
        <f t="shared" si="79"/>
        <v>-4239967.9333333336</v>
      </c>
      <c r="AM84" s="89">
        <f t="shared" si="80"/>
        <v>-7293483.3533333335</v>
      </c>
      <c r="AN84" s="89">
        <f t="shared" si="81"/>
        <v>39835.056666666642</v>
      </c>
      <c r="AO84" s="89">
        <f t="shared" si="82"/>
        <v>10416666.666666666</v>
      </c>
      <c r="AP84" s="89">
        <f t="shared" si="83"/>
        <v>10416666.666666666</v>
      </c>
      <c r="AQ84" s="89">
        <f t="shared" si="84"/>
        <v>10416666.666666666</v>
      </c>
      <c r="AS84" s="65"/>
    </row>
    <row r="85" spans="2:45" x14ac:dyDescent="0.35">
      <c r="B85" s="18" t="s">
        <v>81</v>
      </c>
      <c r="C85"/>
      <c r="D85"/>
      <c r="E85" s="116">
        <f t="shared" si="69"/>
        <v>125000000.00000001</v>
      </c>
      <c r="F85" s="22">
        <v>10416666.666666666</v>
      </c>
      <c r="G85" s="22">
        <v>10416666.666666666</v>
      </c>
      <c r="H85" s="22">
        <v>10416666.666666666</v>
      </c>
      <c r="I85" s="22">
        <v>10416666.666666666</v>
      </c>
      <c r="J85" s="22">
        <v>10416666.666666666</v>
      </c>
      <c r="K85" s="22">
        <v>10416666.666666666</v>
      </c>
      <c r="L85" s="22">
        <v>10416666.666666666</v>
      </c>
      <c r="M85" s="22">
        <v>10416666.666666666</v>
      </c>
      <c r="N85" s="22">
        <v>10416666.666666666</v>
      </c>
      <c r="O85" s="22">
        <v>10416666.666666666</v>
      </c>
      <c r="P85" s="22">
        <v>10416666.666666666</v>
      </c>
      <c r="Q85" s="22">
        <v>10416666.666666666</v>
      </c>
      <c r="R85" s="116">
        <f t="shared" si="70"/>
        <v>141362774.54999998</v>
      </c>
      <c r="S85" s="77">
        <f t="shared" ref="S85:AD85" si="96">IFERROR(SUMIFS(Skutecnost,Skupina,$B85,Rok,S$4,Mesic,S$5),0)</f>
        <v>10592190.960000001</v>
      </c>
      <c r="T85" s="77">
        <f t="shared" si="96"/>
        <v>13924249.01</v>
      </c>
      <c r="U85" s="77">
        <f t="shared" si="96"/>
        <v>9317847.0299999993</v>
      </c>
      <c r="V85" s="77">
        <f t="shared" si="96"/>
        <v>31774001.600000001</v>
      </c>
      <c r="W85" s="77">
        <f t="shared" si="96"/>
        <v>22069776</v>
      </c>
      <c r="X85" s="77">
        <f t="shared" si="96"/>
        <v>10941093.720000001</v>
      </c>
      <c r="Y85" s="77">
        <f t="shared" si="96"/>
        <v>14656634.6</v>
      </c>
      <c r="Z85" s="77">
        <f t="shared" si="96"/>
        <v>17710150.02</v>
      </c>
      <c r="AA85" s="77">
        <f t="shared" si="96"/>
        <v>10376831.609999999</v>
      </c>
      <c r="AB85" s="77">
        <f t="shared" si="96"/>
        <v>0</v>
      </c>
      <c r="AC85" s="77">
        <f t="shared" si="96"/>
        <v>0</v>
      </c>
      <c r="AD85" s="77">
        <f t="shared" si="96"/>
        <v>0</v>
      </c>
      <c r="AE85" s="116">
        <f t="shared" si="72"/>
        <v>-16362774.549999967</v>
      </c>
      <c r="AF85" s="77">
        <f t="shared" si="73"/>
        <v>-175524.29333333485</v>
      </c>
      <c r="AG85" s="77">
        <f t="shared" si="74"/>
        <v>-3507582.3433333337</v>
      </c>
      <c r="AH85" s="77">
        <f t="shared" si="75"/>
        <v>1098819.6366666667</v>
      </c>
      <c r="AI85" s="77">
        <f t="shared" si="76"/>
        <v>-21357334.933333337</v>
      </c>
      <c r="AJ85" s="77">
        <f t="shared" si="77"/>
        <v>-11653109.333333334</v>
      </c>
      <c r="AK85" s="77">
        <f t="shared" si="78"/>
        <v>-524427.05333333462</v>
      </c>
      <c r="AL85" s="77">
        <f t="shared" si="79"/>
        <v>-4239967.9333333336</v>
      </c>
      <c r="AM85" s="77">
        <f t="shared" si="80"/>
        <v>-7293483.3533333335</v>
      </c>
      <c r="AN85" s="77">
        <f t="shared" si="81"/>
        <v>39835.056666666642</v>
      </c>
      <c r="AO85" s="77">
        <f t="shared" si="82"/>
        <v>10416666.666666666</v>
      </c>
      <c r="AP85" s="77">
        <f t="shared" si="83"/>
        <v>10416666.666666666</v>
      </c>
      <c r="AQ85" s="77">
        <f t="shared" si="84"/>
        <v>10416666.666666666</v>
      </c>
      <c r="AS85" s="17"/>
    </row>
    <row r="86" spans="2:45" x14ac:dyDescent="0.35">
      <c r="B86" s="18" t="s">
        <v>82</v>
      </c>
      <c r="C86"/>
      <c r="D86"/>
      <c r="E86" s="116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116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16">
        <f t="shared" si="72"/>
        <v>0</v>
      </c>
      <c r="AF86" s="77">
        <f t="shared" si="73"/>
        <v>0</v>
      </c>
      <c r="AG86" s="77">
        <f t="shared" si="74"/>
        <v>0</v>
      </c>
      <c r="AH86" s="77">
        <f t="shared" si="75"/>
        <v>0</v>
      </c>
      <c r="AI86" s="77">
        <f t="shared" si="76"/>
        <v>0</v>
      </c>
      <c r="AJ86" s="77">
        <f t="shared" si="77"/>
        <v>0</v>
      </c>
      <c r="AK86" s="77">
        <f t="shared" si="78"/>
        <v>0</v>
      </c>
      <c r="AL86" s="77">
        <f t="shared" si="79"/>
        <v>0</v>
      </c>
      <c r="AM86" s="77">
        <f t="shared" si="80"/>
        <v>0</v>
      </c>
      <c r="AN86" s="77">
        <f t="shared" si="81"/>
        <v>0</v>
      </c>
      <c r="AO86" s="77">
        <f t="shared" si="82"/>
        <v>0</v>
      </c>
      <c r="AP86" s="77">
        <f t="shared" si="83"/>
        <v>0</v>
      </c>
      <c r="AQ86" s="77">
        <f t="shared" si="84"/>
        <v>0</v>
      </c>
      <c r="AS86" s="17"/>
    </row>
    <row r="87" spans="2:45" x14ac:dyDescent="0.35">
      <c r="B87" s="64" t="s">
        <v>83</v>
      </c>
      <c r="C87" s="88"/>
      <c r="D87" s="88"/>
      <c r="E87" s="122">
        <f>SUM(F87:Q87)</f>
        <v>35000000.000000007</v>
      </c>
      <c r="F87" s="89">
        <f>SUM(F88:F89)</f>
        <v>2916666.6666666665</v>
      </c>
      <c r="G87" s="89">
        <f t="shared" ref="G87:Q87" si="97">SUM(G88:G89)</f>
        <v>2916666.6666666665</v>
      </c>
      <c r="H87" s="89">
        <f t="shared" si="97"/>
        <v>2916666.6666666665</v>
      </c>
      <c r="I87" s="89">
        <f t="shared" si="97"/>
        <v>2916666.6666666665</v>
      </c>
      <c r="J87" s="89">
        <f t="shared" si="97"/>
        <v>2916666.6666666665</v>
      </c>
      <c r="K87" s="89">
        <f t="shared" si="97"/>
        <v>2916666.6666666665</v>
      </c>
      <c r="L87" s="89">
        <f t="shared" si="97"/>
        <v>2916666.6666666665</v>
      </c>
      <c r="M87" s="89">
        <f t="shared" si="97"/>
        <v>2916666.6666666665</v>
      </c>
      <c r="N87" s="89">
        <f t="shared" si="97"/>
        <v>2916666.6666666665</v>
      </c>
      <c r="O87" s="89">
        <f t="shared" si="97"/>
        <v>2916666.6666666665</v>
      </c>
      <c r="P87" s="89">
        <f t="shared" si="97"/>
        <v>2916666.6666666665</v>
      </c>
      <c r="Q87" s="89">
        <f t="shared" si="97"/>
        <v>2916666.6666666665</v>
      </c>
      <c r="R87" s="122">
        <f t="shared" si="70"/>
        <v>21120621.649999995</v>
      </c>
      <c r="S87" s="89">
        <f t="shared" ref="S87:X87" si="98">SUM(S88:S89)</f>
        <v>2933932.73</v>
      </c>
      <c r="T87" s="89">
        <f t="shared" si="98"/>
        <v>2956184.3600000003</v>
      </c>
      <c r="U87" s="89">
        <f t="shared" si="98"/>
        <v>2144319.34</v>
      </c>
      <c r="V87" s="89">
        <f t="shared" si="98"/>
        <v>1867677.56</v>
      </c>
      <c r="W87" s="89">
        <f t="shared" si="98"/>
        <v>3690524.4299999997</v>
      </c>
      <c r="X87" s="89">
        <f t="shared" si="98"/>
        <v>2242178.13</v>
      </c>
      <c r="Y87" s="89">
        <f t="shared" ref="Y87" si="99">SUM(Y88:Y89)</f>
        <v>2477930.7400000002</v>
      </c>
      <c r="Z87" s="89">
        <f t="shared" ref="Z87:AD87" si="100">SUM(Z88:Z89)</f>
        <v>1414499.08</v>
      </c>
      <c r="AA87" s="89">
        <f t="shared" si="100"/>
        <v>1363384.56</v>
      </c>
      <c r="AB87" s="89">
        <f t="shared" si="100"/>
        <v>29990.720000000001</v>
      </c>
      <c r="AC87" s="89">
        <f t="shared" si="100"/>
        <v>0</v>
      </c>
      <c r="AD87" s="89">
        <f t="shared" si="100"/>
        <v>0</v>
      </c>
      <c r="AE87" s="122">
        <f t="shared" si="72"/>
        <v>13879378.350000013</v>
      </c>
      <c r="AF87" s="89">
        <f t="shared" si="73"/>
        <v>-17266.06333333347</v>
      </c>
      <c r="AG87" s="89">
        <f t="shared" si="74"/>
        <v>-39517.693333333824</v>
      </c>
      <c r="AH87" s="89">
        <f t="shared" si="75"/>
        <v>772347.32666666666</v>
      </c>
      <c r="AI87" s="89">
        <f t="shared" si="76"/>
        <v>1048989.1066666665</v>
      </c>
      <c r="AJ87" s="89">
        <f t="shared" si="77"/>
        <v>-773857.76333333319</v>
      </c>
      <c r="AK87" s="89">
        <f t="shared" si="78"/>
        <v>674488.53666666662</v>
      </c>
      <c r="AL87" s="89">
        <f t="shared" si="79"/>
        <v>438735.92666666629</v>
      </c>
      <c r="AM87" s="89">
        <f t="shared" si="80"/>
        <v>1502167.5866666664</v>
      </c>
      <c r="AN87" s="89">
        <f t="shared" si="81"/>
        <v>1553282.1066666665</v>
      </c>
      <c r="AO87" s="89">
        <f t="shared" si="82"/>
        <v>2886675.9466666663</v>
      </c>
      <c r="AP87" s="89">
        <f t="shared" si="83"/>
        <v>2916666.6666666665</v>
      </c>
      <c r="AQ87" s="89">
        <f t="shared" si="84"/>
        <v>2916666.6666666665</v>
      </c>
      <c r="AS87" s="65"/>
    </row>
    <row r="88" spans="2:45" x14ac:dyDescent="0.35">
      <c r="B88" s="18" t="s">
        <v>84</v>
      </c>
      <c r="C88"/>
      <c r="D88"/>
      <c r="E88" s="116">
        <f t="shared" si="69"/>
        <v>35000000.000000007</v>
      </c>
      <c r="F88" s="77">
        <v>2916666.6666666665</v>
      </c>
      <c r="G88" s="77">
        <v>2916666.6666666665</v>
      </c>
      <c r="H88" s="77">
        <v>2916666.6666666665</v>
      </c>
      <c r="I88" s="77">
        <v>2916666.6666666665</v>
      </c>
      <c r="J88" s="77">
        <v>2916666.6666666665</v>
      </c>
      <c r="K88" s="77">
        <v>2916666.6666666665</v>
      </c>
      <c r="L88" s="77">
        <v>2916666.6666666665</v>
      </c>
      <c r="M88" s="77">
        <v>2916666.6666666665</v>
      </c>
      <c r="N88" s="77">
        <v>2916666.6666666665</v>
      </c>
      <c r="O88" s="77">
        <v>2916666.6666666665</v>
      </c>
      <c r="P88" s="77">
        <v>2916666.6666666665</v>
      </c>
      <c r="Q88" s="77">
        <v>2916666.6666666665</v>
      </c>
      <c r="R88" s="116">
        <f t="shared" si="70"/>
        <v>14947005.840000002</v>
      </c>
      <c r="S88" s="77">
        <f t="shared" ref="S88:AD90" si="101">IFERROR(SUMIFS(Skutecnost,Skupina,$B88,Rok,S$4,Mesic,S$5),0)</f>
        <v>2225655.89</v>
      </c>
      <c r="T88" s="77">
        <f t="shared" si="101"/>
        <v>1800237.87</v>
      </c>
      <c r="U88" s="77">
        <f t="shared" si="101"/>
        <v>1562651.06</v>
      </c>
      <c r="V88" s="77">
        <f t="shared" si="101"/>
        <v>1362559.56</v>
      </c>
      <c r="W88" s="77">
        <f t="shared" si="101"/>
        <v>2992405.73</v>
      </c>
      <c r="X88" s="77">
        <f t="shared" si="101"/>
        <v>1497758.09</v>
      </c>
      <c r="Y88" s="77">
        <f t="shared" si="101"/>
        <v>1803335.81</v>
      </c>
      <c r="Z88" s="77">
        <f t="shared" si="101"/>
        <v>563406.79</v>
      </c>
      <c r="AA88" s="77">
        <f t="shared" si="101"/>
        <v>1109004.32</v>
      </c>
      <c r="AB88" s="77">
        <f t="shared" si="101"/>
        <v>29990.720000000001</v>
      </c>
      <c r="AC88" s="77">
        <f t="shared" si="101"/>
        <v>0</v>
      </c>
      <c r="AD88" s="77">
        <f t="shared" si="101"/>
        <v>0</v>
      </c>
      <c r="AE88" s="116">
        <f t="shared" si="72"/>
        <v>20052994.160000004</v>
      </c>
      <c r="AF88" s="77">
        <f t="shared" si="73"/>
        <v>691010.77666666638</v>
      </c>
      <c r="AG88" s="77">
        <f t="shared" si="74"/>
        <v>1116428.7966666664</v>
      </c>
      <c r="AH88" s="77">
        <f t="shared" si="75"/>
        <v>1354015.6066666665</v>
      </c>
      <c r="AI88" s="77">
        <f t="shared" si="76"/>
        <v>1554107.1066666665</v>
      </c>
      <c r="AJ88" s="77">
        <f t="shared" si="77"/>
        <v>-75739.06333333347</v>
      </c>
      <c r="AK88" s="77">
        <f t="shared" si="78"/>
        <v>1418908.5766666664</v>
      </c>
      <c r="AL88" s="77">
        <f t="shared" si="79"/>
        <v>1113330.8566666665</v>
      </c>
      <c r="AM88" s="77">
        <f t="shared" si="80"/>
        <v>2353259.8766666665</v>
      </c>
      <c r="AN88" s="77">
        <f t="shared" si="81"/>
        <v>1807662.3466666664</v>
      </c>
      <c r="AO88" s="77">
        <f t="shared" si="82"/>
        <v>2886675.9466666663</v>
      </c>
      <c r="AP88" s="77">
        <f t="shared" si="83"/>
        <v>2916666.6666666665</v>
      </c>
      <c r="AQ88" s="77">
        <f t="shared" si="84"/>
        <v>2916666.6666666665</v>
      </c>
      <c r="AS88" s="17"/>
    </row>
    <row r="89" spans="2:45" x14ac:dyDescent="0.35">
      <c r="B89" s="18" t="s">
        <v>85</v>
      </c>
      <c r="C89"/>
      <c r="D89"/>
      <c r="E89" s="116">
        <f t="shared" si="69"/>
        <v>0</v>
      </c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116">
        <f t="shared" si="70"/>
        <v>6173615.8100000005</v>
      </c>
      <c r="S89" s="77">
        <f t="shared" si="101"/>
        <v>708276.84</v>
      </c>
      <c r="T89" s="77">
        <f t="shared" si="101"/>
        <v>1155946.49</v>
      </c>
      <c r="U89" s="77">
        <f t="shared" si="101"/>
        <v>581668.28</v>
      </c>
      <c r="V89" s="77">
        <f t="shared" si="101"/>
        <v>505118</v>
      </c>
      <c r="W89" s="77">
        <f t="shared" si="101"/>
        <v>698118.7</v>
      </c>
      <c r="X89" s="77">
        <f t="shared" si="101"/>
        <v>744420.04</v>
      </c>
      <c r="Y89" s="77">
        <f t="shared" si="101"/>
        <v>674594.93</v>
      </c>
      <c r="Z89" s="77">
        <f t="shared" si="101"/>
        <v>851092.29</v>
      </c>
      <c r="AA89" s="77">
        <f t="shared" si="101"/>
        <v>254380.24</v>
      </c>
      <c r="AB89" s="77">
        <f t="shared" si="101"/>
        <v>0</v>
      </c>
      <c r="AC89" s="77">
        <f t="shared" si="101"/>
        <v>0</v>
      </c>
      <c r="AD89" s="77">
        <f t="shared" si="101"/>
        <v>0</v>
      </c>
      <c r="AE89" s="116">
        <f t="shared" si="72"/>
        <v>-6173615.8100000005</v>
      </c>
      <c r="AF89" s="77">
        <f t="shared" si="73"/>
        <v>-708276.84</v>
      </c>
      <c r="AG89" s="77">
        <f t="shared" si="74"/>
        <v>-1155946.49</v>
      </c>
      <c r="AH89" s="77">
        <f t="shared" si="75"/>
        <v>-581668.28</v>
      </c>
      <c r="AI89" s="77">
        <f t="shared" si="76"/>
        <v>-505118</v>
      </c>
      <c r="AJ89" s="77">
        <f t="shared" si="77"/>
        <v>-698118.7</v>
      </c>
      <c r="AK89" s="77">
        <f t="shared" si="78"/>
        <v>-744420.04</v>
      </c>
      <c r="AL89" s="77">
        <f t="shared" si="79"/>
        <v>-674594.93</v>
      </c>
      <c r="AM89" s="77">
        <f t="shared" si="80"/>
        <v>-851092.29</v>
      </c>
      <c r="AN89" s="77">
        <f t="shared" si="81"/>
        <v>-254380.24</v>
      </c>
      <c r="AO89" s="77">
        <f t="shared" si="82"/>
        <v>0</v>
      </c>
      <c r="AP89" s="77">
        <f t="shared" si="83"/>
        <v>0</v>
      </c>
      <c r="AQ89" s="77">
        <f t="shared" si="84"/>
        <v>0</v>
      </c>
      <c r="AS89" s="17"/>
    </row>
    <row r="90" spans="2:45" x14ac:dyDescent="0.35">
      <c r="B90" s="66" t="s">
        <v>35</v>
      </c>
      <c r="C90" s="82"/>
      <c r="D90" s="82"/>
      <c r="E90" s="123">
        <f t="shared" si="69"/>
        <v>1700000.0000000002</v>
      </c>
      <c r="F90" s="84">
        <v>141666.66666666666</v>
      </c>
      <c r="G90" s="84">
        <v>141666.66666666666</v>
      </c>
      <c r="H90" s="84">
        <v>141666.66666666666</v>
      </c>
      <c r="I90" s="84">
        <v>141666.66666666666</v>
      </c>
      <c r="J90" s="84">
        <v>141666.66666666666</v>
      </c>
      <c r="K90" s="84">
        <v>141666.66666666666</v>
      </c>
      <c r="L90" s="84">
        <v>141666.66666666666</v>
      </c>
      <c r="M90" s="84">
        <v>141666.66666666666</v>
      </c>
      <c r="N90" s="84">
        <v>141666.66666666666</v>
      </c>
      <c r="O90" s="84">
        <v>141666.66666666666</v>
      </c>
      <c r="P90" s="84">
        <v>141666.66666666666</v>
      </c>
      <c r="Q90" s="84">
        <v>141666.66666666666</v>
      </c>
      <c r="R90" s="123">
        <f t="shared" si="70"/>
        <v>1663041.29</v>
      </c>
      <c r="S90" s="84">
        <f t="shared" si="101"/>
        <v>100375</v>
      </c>
      <c r="T90" s="84">
        <f t="shared" si="101"/>
        <v>170985</v>
      </c>
      <c r="U90" s="84">
        <f t="shared" si="101"/>
        <v>198084.1</v>
      </c>
      <c r="V90" s="84">
        <f t="shared" si="101"/>
        <v>239940.79</v>
      </c>
      <c r="W90" s="84">
        <f t="shared" si="101"/>
        <v>200647</v>
      </c>
      <c r="X90" s="84">
        <f t="shared" si="101"/>
        <v>221988</v>
      </c>
      <c r="Y90" s="84">
        <f t="shared" si="101"/>
        <v>181282.4</v>
      </c>
      <c r="Z90" s="84">
        <f t="shared" si="101"/>
        <v>260710</v>
      </c>
      <c r="AA90" s="84">
        <f t="shared" si="101"/>
        <v>89029</v>
      </c>
      <c r="AB90" s="84">
        <f t="shared" si="101"/>
        <v>0</v>
      </c>
      <c r="AC90" s="84">
        <f t="shared" si="101"/>
        <v>0</v>
      </c>
      <c r="AD90" s="84">
        <f t="shared" si="101"/>
        <v>0</v>
      </c>
      <c r="AE90" s="123">
        <f t="shared" si="72"/>
        <v>36958.710000000196</v>
      </c>
      <c r="AF90" s="84">
        <f t="shared" si="73"/>
        <v>41291.666666666657</v>
      </c>
      <c r="AG90" s="84">
        <f t="shared" si="74"/>
        <v>-29318.333333333343</v>
      </c>
      <c r="AH90" s="84">
        <f t="shared" si="75"/>
        <v>-56417.433333333349</v>
      </c>
      <c r="AI90" s="84">
        <f t="shared" si="76"/>
        <v>-98274.123333333351</v>
      </c>
      <c r="AJ90" s="84">
        <f t="shared" si="77"/>
        <v>-58980.333333333343</v>
      </c>
      <c r="AK90" s="84">
        <f t="shared" si="78"/>
        <v>-80321.333333333343</v>
      </c>
      <c r="AL90" s="84">
        <f t="shared" si="79"/>
        <v>-39615.733333333337</v>
      </c>
      <c r="AM90" s="84">
        <f t="shared" si="80"/>
        <v>-119043.33333333334</v>
      </c>
      <c r="AN90" s="84">
        <f t="shared" si="81"/>
        <v>52637.666666666657</v>
      </c>
      <c r="AO90" s="84">
        <f t="shared" si="82"/>
        <v>141666.66666666666</v>
      </c>
      <c r="AP90" s="84">
        <f t="shared" si="83"/>
        <v>141666.66666666666</v>
      </c>
      <c r="AQ90" s="84">
        <f t="shared" si="84"/>
        <v>141666.66666666666</v>
      </c>
      <c r="AS90" s="61"/>
    </row>
    <row r="91" spans="2:45" x14ac:dyDescent="0.35">
      <c r="B91" s="64" t="s">
        <v>86</v>
      </c>
      <c r="C91" s="88"/>
      <c r="D91" s="88"/>
      <c r="E91" s="122">
        <f t="shared" si="69"/>
        <v>161700000</v>
      </c>
      <c r="F91" s="89">
        <f t="shared" ref="F91:P91" si="102">F90+F87+F84</f>
        <v>13475000</v>
      </c>
      <c r="G91" s="89">
        <f t="shared" si="102"/>
        <v>13475000</v>
      </c>
      <c r="H91" s="89">
        <f t="shared" si="102"/>
        <v>13475000</v>
      </c>
      <c r="I91" s="89">
        <f t="shared" si="102"/>
        <v>13475000</v>
      </c>
      <c r="J91" s="89">
        <f t="shared" si="102"/>
        <v>13475000</v>
      </c>
      <c r="K91" s="89">
        <f t="shared" si="102"/>
        <v>13475000</v>
      </c>
      <c r="L91" s="89">
        <f t="shared" si="102"/>
        <v>13475000</v>
      </c>
      <c r="M91" s="89">
        <f t="shared" si="102"/>
        <v>13475000</v>
      </c>
      <c r="N91" s="89">
        <f t="shared" si="102"/>
        <v>13475000</v>
      </c>
      <c r="O91" s="89">
        <f t="shared" si="102"/>
        <v>13475000</v>
      </c>
      <c r="P91" s="89">
        <f t="shared" si="102"/>
        <v>13475000</v>
      </c>
      <c r="Q91" s="89">
        <f t="shared" ref="Q91" si="103">Q90+Q87+Q84</f>
        <v>13475000</v>
      </c>
      <c r="R91" s="122">
        <f t="shared" si="70"/>
        <v>164146437.48999998</v>
      </c>
      <c r="S91" s="89">
        <f t="shared" ref="S91:X91" si="104">S90+S87+S84</f>
        <v>13626498.690000001</v>
      </c>
      <c r="T91" s="89">
        <f t="shared" si="104"/>
        <v>17051418.370000001</v>
      </c>
      <c r="U91" s="89">
        <f t="shared" si="104"/>
        <v>11660250.469999999</v>
      </c>
      <c r="V91" s="89">
        <f t="shared" si="104"/>
        <v>33881619.950000003</v>
      </c>
      <c r="W91" s="89">
        <f t="shared" si="104"/>
        <v>25960947.43</v>
      </c>
      <c r="X91" s="89">
        <f t="shared" si="104"/>
        <v>13405259.850000001</v>
      </c>
      <c r="Y91" s="89">
        <f t="shared" ref="Y91" si="105">Y90+Y87+Y84</f>
        <v>17315847.739999998</v>
      </c>
      <c r="Z91" s="89">
        <f t="shared" ref="Z91:AD91" si="106">Z90+Z87+Z84</f>
        <v>19385359.100000001</v>
      </c>
      <c r="AA91" s="89">
        <f t="shared" si="106"/>
        <v>11829245.17</v>
      </c>
      <c r="AB91" s="89">
        <f t="shared" si="106"/>
        <v>29990.720000000001</v>
      </c>
      <c r="AC91" s="89">
        <f t="shared" si="106"/>
        <v>0</v>
      </c>
      <c r="AD91" s="89">
        <f t="shared" si="106"/>
        <v>0</v>
      </c>
      <c r="AE91" s="122">
        <f t="shared" si="72"/>
        <v>-2446437.4899999797</v>
      </c>
      <c r="AF91" s="89">
        <f t="shared" si="73"/>
        <v>-151498.69000000134</v>
      </c>
      <c r="AG91" s="89">
        <f t="shared" si="74"/>
        <v>-3576418.370000001</v>
      </c>
      <c r="AH91" s="89">
        <f t="shared" si="75"/>
        <v>1814749.5300000012</v>
      </c>
      <c r="AI91" s="89">
        <f t="shared" si="76"/>
        <v>-20406619.950000003</v>
      </c>
      <c r="AJ91" s="89">
        <f t="shared" si="77"/>
        <v>-12485947.43</v>
      </c>
      <c r="AK91" s="89">
        <f t="shared" si="78"/>
        <v>69740.14999999851</v>
      </c>
      <c r="AL91" s="89">
        <f t="shared" si="79"/>
        <v>-3840847.7399999984</v>
      </c>
      <c r="AM91" s="89">
        <f t="shared" si="80"/>
        <v>-5910359.1000000015</v>
      </c>
      <c r="AN91" s="89">
        <f t="shared" si="81"/>
        <v>1645754.83</v>
      </c>
      <c r="AO91" s="89">
        <f t="shared" si="82"/>
        <v>13445009.279999999</v>
      </c>
      <c r="AP91" s="89">
        <f t="shared" si="83"/>
        <v>13475000</v>
      </c>
      <c r="AQ91" s="89">
        <f t="shared" si="84"/>
        <v>13475000</v>
      </c>
      <c r="AS91" s="65"/>
    </row>
    <row r="92" spans="2:45" x14ac:dyDescent="0.35">
      <c r="B92" s="52" t="s">
        <v>78</v>
      </c>
      <c r="C92" s="75"/>
      <c r="D92" s="75"/>
      <c r="E92" s="124">
        <f t="shared" si="69"/>
        <v>156894020</v>
      </c>
      <c r="F92" s="81">
        <f t="shared" ref="F92:P92" si="107">F79</f>
        <v>13074501.666666666</v>
      </c>
      <c r="G92" s="81">
        <f t="shared" si="107"/>
        <v>13074501.666666666</v>
      </c>
      <c r="H92" s="81">
        <f t="shared" si="107"/>
        <v>13074501.666666666</v>
      </c>
      <c r="I92" s="81">
        <f t="shared" si="107"/>
        <v>13074501.666666666</v>
      </c>
      <c r="J92" s="81">
        <f t="shared" si="107"/>
        <v>13074501.666666666</v>
      </c>
      <c r="K92" s="81">
        <f t="shared" si="107"/>
        <v>13074501.666666666</v>
      </c>
      <c r="L92" s="81">
        <f t="shared" si="107"/>
        <v>13074501.666666666</v>
      </c>
      <c r="M92" s="81">
        <f t="shared" si="107"/>
        <v>13074501.666666666</v>
      </c>
      <c r="N92" s="81">
        <f t="shared" si="107"/>
        <v>13074501.666666666</v>
      </c>
      <c r="O92" s="81">
        <f t="shared" si="107"/>
        <v>13074501.666666666</v>
      </c>
      <c r="P92" s="81">
        <f t="shared" si="107"/>
        <v>13074501.666666666</v>
      </c>
      <c r="Q92" s="81">
        <f t="shared" ref="Q92" si="108">Q79</f>
        <v>13074501.666666666</v>
      </c>
      <c r="R92" s="124">
        <f t="shared" si="70"/>
        <v>134930971.11000001</v>
      </c>
      <c r="S92" s="81">
        <f t="shared" ref="S92:X92" si="109">S79</f>
        <v>10738890.030000001</v>
      </c>
      <c r="T92" s="81">
        <f t="shared" si="109"/>
        <v>14711683.640000001</v>
      </c>
      <c r="U92" s="81">
        <f t="shared" si="109"/>
        <v>13629992</v>
      </c>
      <c r="V92" s="81">
        <f t="shared" si="109"/>
        <v>19081888.080000002</v>
      </c>
      <c r="W92" s="81">
        <f t="shared" si="109"/>
        <v>15183608.4</v>
      </c>
      <c r="X92" s="81">
        <f t="shared" si="109"/>
        <v>19096126.460000001</v>
      </c>
      <c r="Y92" s="81">
        <f t="shared" ref="Y92" si="110">Y79</f>
        <v>14119104.009999998</v>
      </c>
      <c r="Z92" s="81">
        <f t="shared" ref="Z92:AD92" si="111">Z79</f>
        <v>20192726.310000002</v>
      </c>
      <c r="AA92" s="81">
        <f t="shared" si="111"/>
        <v>7007310.4699999997</v>
      </c>
      <c r="AB92" s="81">
        <f t="shared" si="111"/>
        <v>1169641.71</v>
      </c>
      <c r="AC92" s="81">
        <f t="shared" si="111"/>
        <v>0</v>
      </c>
      <c r="AD92" s="81">
        <f t="shared" si="111"/>
        <v>0</v>
      </c>
      <c r="AE92" s="124">
        <f t="shared" si="72"/>
        <v>21963048.889999986</v>
      </c>
      <c r="AF92" s="81">
        <f t="shared" si="73"/>
        <v>2335611.6366666649</v>
      </c>
      <c r="AG92" s="81">
        <f t="shared" si="74"/>
        <v>-1637181.9733333346</v>
      </c>
      <c r="AH92" s="81">
        <f t="shared" si="75"/>
        <v>-555490.33333333395</v>
      </c>
      <c r="AI92" s="81">
        <f t="shared" si="76"/>
        <v>-6007386.4133333359</v>
      </c>
      <c r="AJ92" s="81">
        <f t="shared" si="77"/>
        <v>-2109106.7333333343</v>
      </c>
      <c r="AK92" s="81">
        <f t="shared" si="78"/>
        <v>-6021624.7933333348</v>
      </c>
      <c r="AL92" s="81">
        <f t="shared" si="79"/>
        <v>-1044602.3433333319</v>
      </c>
      <c r="AM92" s="81">
        <f t="shared" si="80"/>
        <v>-7118224.6433333363</v>
      </c>
      <c r="AN92" s="81">
        <f t="shared" si="81"/>
        <v>6067191.1966666663</v>
      </c>
      <c r="AO92" s="81">
        <f t="shared" si="82"/>
        <v>11904859.956666667</v>
      </c>
      <c r="AP92" s="81">
        <f t="shared" si="83"/>
        <v>13074501.666666666</v>
      </c>
      <c r="AQ92" s="81">
        <f t="shared" si="84"/>
        <v>13074501.666666666</v>
      </c>
      <c r="AS92" s="59"/>
    </row>
    <row r="93" spans="2:45" x14ac:dyDescent="0.35">
      <c r="B93" s="67" t="s">
        <v>87</v>
      </c>
      <c r="C93" s="90"/>
      <c r="D93" s="90"/>
      <c r="E93" s="125">
        <f t="shared" si="69"/>
        <v>4805980.0000000075</v>
      </c>
      <c r="F93" s="91">
        <f t="shared" ref="F93:P93" si="112">F91-F92</f>
        <v>400498.33333333395</v>
      </c>
      <c r="G93" s="91">
        <f t="shared" si="112"/>
        <v>400498.33333333395</v>
      </c>
      <c r="H93" s="91">
        <f t="shared" si="112"/>
        <v>400498.33333333395</v>
      </c>
      <c r="I93" s="91">
        <f t="shared" si="112"/>
        <v>400498.33333333395</v>
      </c>
      <c r="J93" s="91">
        <f t="shared" si="112"/>
        <v>400498.33333333395</v>
      </c>
      <c r="K93" s="91">
        <f t="shared" si="112"/>
        <v>400498.33333333395</v>
      </c>
      <c r="L93" s="91">
        <f t="shared" si="112"/>
        <v>400498.33333333395</v>
      </c>
      <c r="M93" s="91">
        <f t="shared" si="112"/>
        <v>400498.33333333395</v>
      </c>
      <c r="N93" s="91">
        <f t="shared" si="112"/>
        <v>400498.33333333395</v>
      </c>
      <c r="O93" s="91">
        <f t="shared" si="112"/>
        <v>400498.33333333395</v>
      </c>
      <c r="P93" s="91">
        <f t="shared" si="112"/>
        <v>400498.33333333395</v>
      </c>
      <c r="Q93" s="91">
        <f t="shared" ref="Q93" si="113">Q91-Q92</f>
        <v>400498.33333333395</v>
      </c>
      <c r="R93" s="125">
        <f t="shared" si="70"/>
        <v>29215466.379999999</v>
      </c>
      <c r="S93" s="91">
        <f t="shared" ref="S93:X93" si="114">S91-S92</f>
        <v>2887608.66</v>
      </c>
      <c r="T93" s="91">
        <f t="shared" si="114"/>
        <v>2339734.7300000004</v>
      </c>
      <c r="U93" s="91">
        <f t="shared" si="114"/>
        <v>-1969741.5300000012</v>
      </c>
      <c r="V93" s="91">
        <f t="shared" si="114"/>
        <v>14799731.870000001</v>
      </c>
      <c r="W93" s="91">
        <f t="shared" si="114"/>
        <v>10777339.029999999</v>
      </c>
      <c r="X93" s="91">
        <f t="shared" si="114"/>
        <v>-5690866.6099999994</v>
      </c>
      <c r="Y93" s="91">
        <f t="shared" ref="Y93" si="115">Y91-Y92</f>
        <v>3196743.7300000004</v>
      </c>
      <c r="Z93" s="91">
        <f t="shared" ref="Z93:AD93" si="116">Z91-Z92</f>
        <v>-807367.21000000089</v>
      </c>
      <c r="AA93" s="91">
        <f t="shared" si="116"/>
        <v>4821934.7</v>
      </c>
      <c r="AB93" s="91">
        <f t="shared" si="116"/>
        <v>-1139650.99</v>
      </c>
      <c r="AC93" s="91">
        <f t="shared" si="116"/>
        <v>0</v>
      </c>
      <c r="AD93" s="91">
        <f t="shared" si="116"/>
        <v>0</v>
      </c>
      <c r="AE93" s="125">
        <f t="shared" si="72"/>
        <v>-24409486.379999992</v>
      </c>
      <c r="AF93" s="91">
        <f t="shared" si="73"/>
        <v>-2487110.3266666662</v>
      </c>
      <c r="AG93" s="91">
        <f t="shared" si="74"/>
        <v>-1939236.3966666665</v>
      </c>
      <c r="AH93" s="91">
        <f t="shared" si="75"/>
        <v>2370239.8633333351</v>
      </c>
      <c r="AI93" s="91">
        <f t="shared" si="76"/>
        <v>-14399233.536666667</v>
      </c>
      <c r="AJ93" s="91">
        <f t="shared" si="77"/>
        <v>-10376840.696666665</v>
      </c>
      <c r="AK93" s="91">
        <f t="shared" si="78"/>
        <v>6091364.9433333334</v>
      </c>
      <c r="AL93" s="91">
        <f t="shared" si="79"/>
        <v>-2796245.3966666665</v>
      </c>
      <c r="AM93" s="91">
        <f t="shared" si="80"/>
        <v>1207865.5433333348</v>
      </c>
      <c r="AN93" s="91">
        <f t="shared" si="81"/>
        <v>-4421436.3666666662</v>
      </c>
      <c r="AO93" s="91">
        <f t="shared" si="82"/>
        <v>1540149.3233333339</v>
      </c>
      <c r="AP93" s="91">
        <f t="shared" si="83"/>
        <v>400498.33333333395</v>
      </c>
      <c r="AQ93" s="91">
        <f t="shared" si="84"/>
        <v>400498.33333333395</v>
      </c>
      <c r="AS93" s="99"/>
    </row>
    <row r="94" spans="2:45" x14ac:dyDescent="0.35">
      <c r="B94" s="19"/>
      <c r="C94"/>
      <c r="D94"/>
      <c r="E94" s="120"/>
      <c r="F94" s="83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120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20">
        <f t="shared" si="72"/>
        <v>0</v>
      </c>
      <c r="AF94" s="83">
        <f t="shared" si="73"/>
        <v>0</v>
      </c>
      <c r="AG94" s="83">
        <f t="shared" si="74"/>
        <v>0</v>
      </c>
      <c r="AH94" s="77">
        <f t="shared" si="75"/>
        <v>0</v>
      </c>
      <c r="AI94" s="77">
        <f t="shared" si="76"/>
        <v>0</v>
      </c>
      <c r="AJ94" s="77">
        <f t="shared" si="77"/>
        <v>0</v>
      </c>
      <c r="AK94" s="77">
        <f t="shared" si="78"/>
        <v>0</v>
      </c>
      <c r="AL94" s="77">
        <f t="shared" si="79"/>
        <v>0</v>
      </c>
      <c r="AM94" s="77">
        <f t="shared" si="80"/>
        <v>0</v>
      </c>
      <c r="AN94" s="77">
        <f t="shared" si="81"/>
        <v>0</v>
      </c>
      <c r="AO94" s="77">
        <f t="shared" si="82"/>
        <v>0</v>
      </c>
      <c r="AP94" s="77">
        <f t="shared" si="83"/>
        <v>0</v>
      </c>
      <c r="AQ94" s="77">
        <f t="shared" si="84"/>
        <v>0</v>
      </c>
      <c r="AS94" s="98"/>
    </row>
    <row r="95" spans="2:45" x14ac:dyDescent="0.35">
      <c r="B95" s="64" t="s">
        <v>88</v>
      </c>
      <c r="C95" s="88"/>
      <c r="D95" s="88"/>
      <c r="E95" s="126"/>
      <c r="F95" s="92"/>
      <c r="G95" s="89"/>
      <c r="H95" s="89"/>
      <c r="I95" s="89"/>
      <c r="J95" s="89"/>
      <c r="K95" s="89"/>
      <c r="L95" s="89"/>
      <c r="M95" s="89"/>
      <c r="N95" s="89"/>
      <c r="O95" s="89"/>
      <c r="P95" s="89"/>
      <c r="Q95" s="89"/>
      <c r="R95" s="126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126">
        <f t="shared" si="72"/>
        <v>0</v>
      </c>
      <c r="AF95" s="92">
        <f t="shared" si="73"/>
        <v>0</v>
      </c>
      <c r="AG95" s="92">
        <f t="shared" si="74"/>
        <v>0</v>
      </c>
      <c r="AH95" s="89">
        <f t="shared" si="75"/>
        <v>0</v>
      </c>
      <c r="AI95" s="89">
        <f t="shared" si="76"/>
        <v>0</v>
      </c>
      <c r="AJ95" s="89">
        <f t="shared" si="77"/>
        <v>0</v>
      </c>
      <c r="AK95" s="89">
        <f t="shared" si="78"/>
        <v>0</v>
      </c>
      <c r="AL95" s="89">
        <f t="shared" si="79"/>
        <v>0</v>
      </c>
      <c r="AM95" s="89">
        <f t="shared" si="80"/>
        <v>0</v>
      </c>
      <c r="AN95" s="89">
        <f t="shared" si="81"/>
        <v>0</v>
      </c>
      <c r="AO95" s="89">
        <f t="shared" si="82"/>
        <v>0</v>
      </c>
      <c r="AP95" s="89">
        <f t="shared" si="83"/>
        <v>0</v>
      </c>
      <c r="AQ95" s="89">
        <f t="shared" si="84"/>
        <v>0</v>
      </c>
      <c r="AS95" s="100"/>
    </row>
    <row r="96" spans="2:45" x14ac:dyDescent="0.35">
      <c r="B96" s="18" t="s">
        <v>89</v>
      </c>
      <c r="C96"/>
      <c r="D96"/>
      <c r="E96" s="116">
        <f t="shared" si="69"/>
        <v>2400000</v>
      </c>
      <c r="F96" s="77">
        <v>200000</v>
      </c>
      <c r="G96" s="77">
        <v>200000</v>
      </c>
      <c r="H96" s="77">
        <v>200000</v>
      </c>
      <c r="I96" s="77">
        <v>200000</v>
      </c>
      <c r="J96" s="77">
        <v>200000</v>
      </c>
      <c r="K96" s="77">
        <v>200000</v>
      </c>
      <c r="L96" s="77">
        <v>200000</v>
      </c>
      <c r="M96" s="77">
        <v>200000</v>
      </c>
      <c r="N96" s="77">
        <v>200000</v>
      </c>
      <c r="O96" s="77">
        <v>200000</v>
      </c>
      <c r="P96" s="77">
        <v>200000</v>
      </c>
      <c r="Q96" s="77">
        <v>200000</v>
      </c>
      <c r="R96" s="116">
        <f t="shared" si="70"/>
        <v>2286928.84</v>
      </c>
      <c r="S96" s="77">
        <f t="shared" ref="S96:AD101" si="117">IFERROR(SUMIFS(Skutecnost,Skupina,$B96,Rok,S$4,Mesic,S$5),0)</f>
        <v>323233.74</v>
      </c>
      <c r="T96" s="77">
        <f t="shared" si="117"/>
        <v>347156.12</v>
      </c>
      <c r="U96" s="77">
        <f t="shared" si="117"/>
        <v>404005.9</v>
      </c>
      <c r="V96" s="77">
        <f t="shared" si="117"/>
        <v>330694.05999999994</v>
      </c>
      <c r="W96" s="77">
        <f t="shared" si="117"/>
        <v>383733.41</v>
      </c>
      <c r="X96" s="77">
        <f t="shared" si="117"/>
        <v>244504.84</v>
      </c>
      <c r="Y96" s="77">
        <f t="shared" si="117"/>
        <v>172241.4</v>
      </c>
      <c r="Z96" s="77">
        <f t="shared" si="117"/>
        <v>81359.37000000001</v>
      </c>
      <c r="AA96" s="77">
        <f t="shared" si="117"/>
        <v>0</v>
      </c>
      <c r="AB96" s="77">
        <f t="shared" si="117"/>
        <v>0</v>
      </c>
      <c r="AC96" s="77">
        <f t="shared" si="117"/>
        <v>0</v>
      </c>
      <c r="AD96" s="77">
        <f t="shared" si="117"/>
        <v>0</v>
      </c>
      <c r="AE96" s="116">
        <f t="shared" si="72"/>
        <v>113071.16000000015</v>
      </c>
      <c r="AF96" s="77">
        <f t="shared" si="73"/>
        <v>-123233.73999999999</v>
      </c>
      <c r="AG96" s="77">
        <f t="shared" si="74"/>
        <v>-147156.12</v>
      </c>
      <c r="AH96" s="77">
        <f t="shared" si="75"/>
        <v>-204005.90000000002</v>
      </c>
      <c r="AI96" s="77">
        <f t="shared" si="76"/>
        <v>-130694.05999999994</v>
      </c>
      <c r="AJ96" s="77">
        <f t="shared" si="77"/>
        <v>-183733.40999999997</v>
      </c>
      <c r="AK96" s="77">
        <f t="shared" si="78"/>
        <v>-44504.84</v>
      </c>
      <c r="AL96" s="77">
        <f t="shared" si="79"/>
        <v>27758.600000000006</v>
      </c>
      <c r="AM96" s="77">
        <f t="shared" si="80"/>
        <v>118640.62999999999</v>
      </c>
      <c r="AN96" s="77">
        <f t="shared" si="81"/>
        <v>200000</v>
      </c>
      <c r="AO96" s="77">
        <f t="shared" si="82"/>
        <v>200000</v>
      </c>
      <c r="AP96" s="77">
        <f t="shared" si="83"/>
        <v>200000</v>
      </c>
      <c r="AQ96" s="77">
        <f t="shared" si="84"/>
        <v>200000</v>
      </c>
      <c r="AS96" s="17"/>
    </row>
    <row r="97" spans="2:45" x14ac:dyDescent="0.35">
      <c r="B97" s="18" t="s">
        <v>90</v>
      </c>
      <c r="C97"/>
      <c r="D97"/>
      <c r="E97" s="116">
        <f t="shared" si="69"/>
        <v>199999.99999999997</v>
      </c>
      <c r="F97" s="77">
        <v>16666.666666666668</v>
      </c>
      <c r="G97" s="77">
        <v>16666.666666666668</v>
      </c>
      <c r="H97" s="77">
        <v>16666.666666666668</v>
      </c>
      <c r="I97" s="77">
        <v>16666.666666666668</v>
      </c>
      <c r="J97" s="77">
        <v>16666.666666666668</v>
      </c>
      <c r="K97" s="77">
        <v>16666.666666666668</v>
      </c>
      <c r="L97" s="77">
        <v>16666.666666666668</v>
      </c>
      <c r="M97" s="77">
        <v>16666.666666666668</v>
      </c>
      <c r="N97" s="77">
        <v>16666.666666666668</v>
      </c>
      <c r="O97" s="77">
        <v>16666.666666666668</v>
      </c>
      <c r="P97" s="77">
        <v>16666.666666666668</v>
      </c>
      <c r="Q97" s="77">
        <v>16666.666666666668</v>
      </c>
      <c r="R97" s="116">
        <f t="shared" si="70"/>
        <v>1875037.68</v>
      </c>
      <c r="S97" s="77">
        <f t="shared" si="117"/>
        <v>0</v>
      </c>
      <c r="T97" s="77">
        <f t="shared" si="117"/>
        <v>0</v>
      </c>
      <c r="U97" s="77">
        <f t="shared" si="117"/>
        <v>58824.71</v>
      </c>
      <c r="V97" s="77">
        <f t="shared" si="117"/>
        <v>160000</v>
      </c>
      <c r="W97" s="77">
        <f t="shared" si="117"/>
        <v>0</v>
      </c>
      <c r="X97" s="77">
        <f t="shared" si="117"/>
        <v>6982</v>
      </c>
      <c r="Y97" s="77">
        <f t="shared" si="117"/>
        <v>695183.7</v>
      </c>
      <c r="Z97" s="77">
        <f t="shared" si="117"/>
        <v>568514</v>
      </c>
      <c r="AA97" s="77">
        <f t="shared" si="117"/>
        <v>385533.27</v>
      </c>
      <c r="AB97" s="77">
        <f t="shared" si="117"/>
        <v>0</v>
      </c>
      <c r="AC97" s="77">
        <f t="shared" si="117"/>
        <v>0</v>
      </c>
      <c r="AD97" s="77">
        <f t="shared" si="117"/>
        <v>0</v>
      </c>
      <c r="AE97" s="116">
        <f t="shared" si="72"/>
        <v>-1675037.68</v>
      </c>
      <c r="AF97" s="77">
        <f t="shared" si="73"/>
        <v>16666.666666666668</v>
      </c>
      <c r="AG97" s="77">
        <f t="shared" si="74"/>
        <v>16666.666666666668</v>
      </c>
      <c r="AH97" s="77">
        <f t="shared" si="75"/>
        <v>-42158.043333333335</v>
      </c>
      <c r="AI97" s="77">
        <f t="shared" si="76"/>
        <v>-143333.33333333334</v>
      </c>
      <c r="AJ97" s="77">
        <f t="shared" si="77"/>
        <v>16666.666666666668</v>
      </c>
      <c r="AK97" s="77">
        <f t="shared" si="78"/>
        <v>9684.6666666666679</v>
      </c>
      <c r="AL97" s="77">
        <f t="shared" si="79"/>
        <v>-678517.03333333333</v>
      </c>
      <c r="AM97" s="77">
        <f t="shared" si="80"/>
        <v>-551847.33333333337</v>
      </c>
      <c r="AN97" s="77">
        <f t="shared" si="81"/>
        <v>-368866.60333333333</v>
      </c>
      <c r="AO97" s="77">
        <f t="shared" si="82"/>
        <v>16666.666666666668</v>
      </c>
      <c r="AP97" s="77">
        <f t="shared" si="83"/>
        <v>16666.666666666668</v>
      </c>
      <c r="AQ97" s="77">
        <f t="shared" si="84"/>
        <v>16666.666666666668</v>
      </c>
      <c r="AS97" s="17"/>
    </row>
    <row r="98" spans="2:45" x14ac:dyDescent="0.35">
      <c r="B98" s="18" t="s">
        <v>91</v>
      </c>
      <c r="C98"/>
      <c r="D98"/>
      <c r="E98" s="116">
        <f t="shared" si="69"/>
        <v>5000000</v>
      </c>
      <c r="F98" s="77">
        <v>416666.66666666669</v>
      </c>
      <c r="G98" s="77">
        <v>416666.66666666669</v>
      </c>
      <c r="H98" s="77">
        <v>416666.66666666669</v>
      </c>
      <c r="I98" s="77">
        <v>416666.66666666669</v>
      </c>
      <c r="J98" s="77">
        <v>416666.66666666669</v>
      </c>
      <c r="K98" s="77">
        <v>416666.66666666669</v>
      </c>
      <c r="L98" s="77">
        <v>416666.66666666669</v>
      </c>
      <c r="M98" s="77">
        <v>416666.66666666669</v>
      </c>
      <c r="N98" s="77">
        <v>416666.66666666669</v>
      </c>
      <c r="O98" s="77">
        <v>416666.66666666669</v>
      </c>
      <c r="P98" s="77">
        <v>416666.66666666669</v>
      </c>
      <c r="Q98" s="77">
        <v>416666.66666666669</v>
      </c>
      <c r="R98" s="116">
        <f t="shared" si="70"/>
        <v>3068471.5200000005</v>
      </c>
      <c r="S98" s="77">
        <f t="shared" si="117"/>
        <v>2696744.14</v>
      </c>
      <c r="T98" s="77">
        <f t="shared" si="117"/>
        <v>0</v>
      </c>
      <c r="U98" s="77">
        <f t="shared" si="117"/>
        <v>120088.64</v>
      </c>
      <c r="V98" s="77">
        <f t="shared" si="117"/>
        <v>0</v>
      </c>
      <c r="W98" s="77">
        <f t="shared" si="117"/>
        <v>0</v>
      </c>
      <c r="X98" s="77">
        <f t="shared" si="117"/>
        <v>0</v>
      </c>
      <c r="Y98" s="77">
        <f t="shared" si="117"/>
        <v>0</v>
      </c>
      <c r="Z98" s="77">
        <f t="shared" si="117"/>
        <v>251638.74</v>
      </c>
      <c r="AA98" s="77">
        <f t="shared" si="117"/>
        <v>0</v>
      </c>
      <c r="AB98" s="77">
        <f t="shared" si="117"/>
        <v>0</v>
      </c>
      <c r="AC98" s="77">
        <f t="shared" si="117"/>
        <v>0</v>
      </c>
      <c r="AD98" s="77">
        <f t="shared" si="117"/>
        <v>0</v>
      </c>
      <c r="AE98" s="116">
        <f t="shared" si="72"/>
        <v>1931528.4799999995</v>
      </c>
      <c r="AF98" s="77">
        <f t="shared" si="73"/>
        <v>-2280077.4733333336</v>
      </c>
      <c r="AG98" s="77">
        <f t="shared" si="74"/>
        <v>416666.66666666669</v>
      </c>
      <c r="AH98" s="77">
        <f t="shared" si="75"/>
        <v>296578.02666666667</v>
      </c>
      <c r="AI98" s="77">
        <f t="shared" si="76"/>
        <v>416666.66666666669</v>
      </c>
      <c r="AJ98" s="77">
        <f t="shared" si="77"/>
        <v>416666.66666666669</v>
      </c>
      <c r="AK98" s="77">
        <f t="shared" si="78"/>
        <v>416666.66666666669</v>
      </c>
      <c r="AL98" s="77">
        <f t="shared" si="79"/>
        <v>416666.66666666669</v>
      </c>
      <c r="AM98" s="77">
        <f t="shared" si="80"/>
        <v>165027.9266666667</v>
      </c>
      <c r="AN98" s="77">
        <f t="shared" si="81"/>
        <v>416666.66666666669</v>
      </c>
      <c r="AO98" s="77">
        <f t="shared" si="82"/>
        <v>416666.66666666669</v>
      </c>
      <c r="AP98" s="77">
        <f t="shared" si="83"/>
        <v>416666.66666666669</v>
      </c>
      <c r="AQ98" s="77">
        <f t="shared" si="84"/>
        <v>416666.66666666669</v>
      </c>
      <c r="AS98" s="17"/>
    </row>
    <row r="99" spans="2:45" x14ac:dyDescent="0.35">
      <c r="B99" s="18" t="s">
        <v>92</v>
      </c>
      <c r="C99"/>
      <c r="D99"/>
      <c r="E99" s="116">
        <f t="shared" si="69"/>
        <v>20000</v>
      </c>
      <c r="F99" s="77">
        <v>1666.6666666666667</v>
      </c>
      <c r="G99" s="77">
        <v>1666.6666666666667</v>
      </c>
      <c r="H99" s="77">
        <v>1666.6666666666667</v>
      </c>
      <c r="I99" s="77">
        <v>1666.6666666666667</v>
      </c>
      <c r="J99" s="77">
        <v>1666.6666666666667</v>
      </c>
      <c r="K99" s="77">
        <v>1666.6666666666667</v>
      </c>
      <c r="L99" s="77">
        <v>1666.6666666666667</v>
      </c>
      <c r="M99" s="77">
        <v>1666.6666666666667</v>
      </c>
      <c r="N99" s="77">
        <v>1666.6666666666667</v>
      </c>
      <c r="O99" s="77">
        <v>1666.6666666666667</v>
      </c>
      <c r="P99" s="77">
        <v>1666.6666666666667</v>
      </c>
      <c r="Q99" s="77">
        <v>1666.6666666666667</v>
      </c>
      <c r="R99" s="116">
        <f t="shared" si="70"/>
        <v>4002</v>
      </c>
      <c r="S99" s="77">
        <f t="shared" si="117"/>
        <v>0</v>
      </c>
      <c r="T99" s="77">
        <f t="shared" si="117"/>
        <v>0</v>
      </c>
      <c r="U99" s="77">
        <f t="shared" si="117"/>
        <v>0</v>
      </c>
      <c r="V99" s="77">
        <f t="shared" si="117"/>
        <v>0</v>
      </c>
      <c r="W99" s="77">
        <f t="shared" si="117"/>
        <v>0</v>
      </c>
      <c r="X99" s="77">
        <f t="shared" si="117"/>
        <v>0</v>
      </c>
      <c r="Y99" s="77">
        <f t="shared" si="117"/>
        <v>0</v>
      </c>
      <c r="Z99" s="77">
        <f t="shared" si="117"/>
        <v>4002</v>
      </c>
      <c r="AA99" s="77">
        <f t="shared" si="117"/>
        <v>0</v>
      </c>
      <c r="AB99" s="77">
        <f t="shared" si="117"/>
        <v>0</v>
      </c>
      <c r="AC99" s="77">
        <f t="shared" si="117"/>
        <v>0</v>
      </c>
      <c r="AD99" s="77">
        <f t="shared" si="117"/>
        <v>0</v>
      </c>
      <c r="AE99" s="116">
        <f t="shared" si="72"/>
        <v>15998</v>
      </c>
      <c r="AF99" s="77">
        <f t="shared" si="73"/>
        <v>1666.6666666666667</v>
      </c>
      <c r="AG99" s="77">
        <f t="shared" si="74"/>
        <v>1666.6666666666667</v>
      </c>
      <c r="AH99" s="77">
        <f t="shared" si="75"/>
        <v>1666.6666666666667</v>
      </c>
      <c r="AI99" s="77">
        <f t="shared" si="76"/>
        <v>1666.6666666666667</v>
      </c>
      <c r="AJ99" s="77">
        <f t="shared" si="77"/>
        <v>1666.6666666666667</v>
      </c>
      <c r="AK99" s="77">
        <f t="shared" si="78"/>
        <v>1666.6666666666667</v>
      </c>
      <c r="AL99" s="77">
        <f t="shared" si="79"/>
        <v>1666.6666666666667</v>
      </c>
      <c r="AM99" s="77">
        <f t="shared" si="80"/>
        <v>-2335.333333333333</v>
      </c>
      <c r="AN99" s="77">
        <f t="shared" si="81"/>
        <v>1666.6666666666667</v>
      </c>
      <c r="AO99" s="77">
        <f t="shared" si="82"/>
        <v>1666.6666666666667</v>
      </c>
      <c r="AP99" s="77">
        <f t="shared" si="83"/>
        <v>1666.6666666666667</v>
      </c>
      <c r="AQ99" s="77">
        <f t="shared" si="84"/>
        <v>1666.6666666666667</v>
      </c>
      <c r="AS99" s="17"/>
    </row>
    <row r="100" spans="2:45" x14ac:dyDescent="0.35">
      <c r="B100" s="18" t="s">
        <v>93</v>
      </c>
      <c r="C100"/>
      <c r="D100"/>
      <c r="E100" s="116">
        <f t="shared" si="69"/>
        <v>0</v>
      </c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116">
        <f t="shared" si="70"/>
        <v>1007821.0800000001</v>
      </c>
      <c r="S100" s="77">
        <f t="shared" si="117"/>
        <v>54833.77</v>
      </c>
      <c r="T100" s="77">
        <f t="shared" si="117"/>
        <v>237180.09</v>
      </c>
      <c r="U100" s="77">
        <f t="shared" si="117"/>
        <v>48540.69</v>
      </c>
      <c r="V100" s="77">
        <f t="shared" si="117"/>
        <v>65710.73000000001</v>
      </c>
      <c r="W100" s="77">
        <f t="shared" si="117"/>
        <v>122200.81</v>
      </c>
      <c r="X100" s="77">
        <f t="shared" si="117"/>
        <v>60182.21</v>
      </c>
      <c r="Y100" s="77">
        <f t="shared" si="117"/>
        <v>101997.36</v>
      </c>
      <c r="Z100" s="77">
        <f t="shared" si="117"/>
        <v>123179.28</v>
      </c>
      <c r="AA100" s="77">
        <f t="shared" si="117"/>
        <v>185379.28</v>
      </c>
      <c r="AB100" s="77">
        <f t="shared" si="117"/>
        <v>8616.86</v>
      </c>
      <c r="AC100" s="77">
        <f t="shared" si="117"/>
        <v>0</v>
      </c>
      <c r="AD100" s="77">
        <f t="shared" si="117"/>
        <v>0</v>
      </c>
      <c r="AE100" s="116">
        <f t="shared" si="72"/>
        <v>-1007821.0800000001</v>
      </c>
      <c r="AF100" s="77">
        <f t="shared" si="73"/>
        <v>-54833.77</v>
      </c>
      <c r="AG100" s="77">
        <f t="shared" si="74"/>
        <v>-237180.09</v>
      </c>
      <c r="AH100" s="77">
        <f t="shared" si="75"/>
        <v>-48540.69</v>
      </c>
      <c r="AI100" s="77">
        <f t="shared" si="76"/>
        <v>-65710.73000000001</v>
      </c>
      <c r="AJ100" s="77">
        <f t="shared" si="77"/>
        <v>-122200.81</v>
      </c>
      <c r="AK100" s="77">
        <f t="shared" si="78"/>
        <v>-60182.21</v>
      </c>
      <c r="AL100" s="77">
        <f t="shared" si="79"/>
        <v>-101997.36</v>
      </c>
      <c r="AM100" s="77">
        <f t="shared" si="80"/>
        <v>-123179.28</v>
      </c>
      <c r="AN100" s="77">
        <f t="shared" si="81"/>
        <v>-185379.28</v>
      </c>
      <c r="AO100" s="77">
        <f t="shared" si="82"/>
        <v>-8616.86</v>
      </c>
      <c r="AP100" s="77">
        <f t="shared" si="83"/>
        <v>0</v>
      </c>
      <c r="AQ100" s="77">
        <f t="shared" si="84"/>
        <v>0</v>
      </c>
      <c r="AS100" s="17"/>
    </row>
    <row r="101" spans="2:45" x14ac:dyDescent="0.35">
      <c r="B101" s="18" t="s">
        <v>65</v>
      </c>
      <c r="C101"/>
      <c r="D101"/>
      <c r="E101" s="116">
        <f t="shared" si="69"/>
        <v>300000</v>
      </c>
      <c r="F101" s="77">
        <v>25000</v>
      </c>
      <c r="G101" s="77">
        <v>25000</v>
      </c>
      <c r="H101" s="77">
        <v>25000</v>
      </c>
      <c r="I101" s="77">
        <v>25000</v>
      </c>
      <c r="J101" s="77">
        <v>25000</v>
      </c>
      <c r="K101" s="77">
        <v>25000</v>
      </c>
      <c r="L101" s="77">
        <v>25000</v>
      </c>
      <c r="M101" s="77">
        <v>25000</v>
      </c>
      <c r="N101" s="77">
        <v>25000</v>
      </c>
      <c r="O101" s="77">
        <v>25000</v>
      </c>
      <c r="P101" s="77">
        <v>25000</v>
      </c>
      <c r="Q101" s="77">
        <v>25000</v>
      </c>
      <c r="R101" s="116">
        <f t="shared" si="70"/>
        <v>0</v>
      </c>
      <c r="S101" s="77">
        <f t="shared" si="117"/>
        <v>0</v>
      </c>
      <c r="T101" s="77">
        <f t="shared" si="117"/>
        <v>0</v>
      </c>
      <c r="U101" s="77">
        <f t="shared" si="117"/>
        <v>0</v>
      </c>
      <c r="V101" s="77">
        <f t="shared" si="117"/>
        <v>0</v>
      </c>
      <c r="W101" s="77">
        <f t="shared" si="117"/>
        <v>0</v>
      </c>
      <c r="X101" s="77">
        <f t="shared" si="117"/>
        <v>0</v>
      </c>
      <c r="Y101" s="77">
        <f t="shared" si="117"/>
        <v>0</v>
      </c>
      <c r="Z101" s="77">
        <f t="shared" si="117"/>
        <v>0</v>
      </c>
      <c r="AA101" s="77">
        <f t="shared" si="117"/>
        <v>0</v>
      </c>
      <c r="AB101" s="77">
        <f t="shared" si="117"/>
        <v>0</v>
      </c>
      <c r="AC101" s="77">
        <f t="shared" si="117"/>
        <v>0</v>
      </c>
      <c r="AD101" s="77">
        <f t="shared" si="117"/>
        <v>0</v>
      </c>
      <c r="AE101" s="116">
        <f t="shared" si="72"/>
        <v>300000</v>
      </c>
      <c r="AF101" s="77">
        <f t="shared" si="73"/>
        <v>25000</v>
      </c>
      <c r="AG101" s="77">
        <f t="shared" si="74"/>
        <v>25000</v>
      </c>
      <c r="AH101" s="77">
        <f t="shared" si="75"/>
        <v>25000</v>
      </c>
      <c r="AI101" s="77">
        <f t="shared" si="76"/>
        <v>25000</v>
      </c>
      <c r="AJ101" s="77">
        <f t="shared" si="77"/>
        <v>25000</v>
      </c>
      <c r="AK101" s="77">
        <f t="shared" si="78"/>
        <v>25000</v>
      </c>
      <c r="AL101" s="77">
        <f t="shared" si="79"/>
        <v>25000</v>
      </c>
      <c r="AM101" s="77">
        <f t="shared" si="80"/>
        <v>25000</v>
      </c>
      <c r="AN101" s="77">
        <f t="shared" si="81"/>
        <v>25000</v>
      </c>
      <c r="AO101" s="77">
        <f t="shared" si="82"/>
        <v>25000</v>
      </c>
      <c r="AP101" s="77">
        <f t="shared" si="83"/>
        <v>25000</v>
      </c>
      <c r="AQ101" s="77">
        <f t="shared" si="84"/>
        <v>25000</v>
      </c>
      <c r="AS101" s="17"/>
    </row>
    <row r="102" spans="2:45" x14ac:dyDescent="0.35">
      <c r="B102" s="64" t="s">
        <v>95</v>
      </c>
      <c r="C102" s="88"/>
      <c r="D102" s="88"/>
      <c r="E102" s="122">
        <f t="shared" si="69"/>
        <v>7920000</v>
      </c>
      <c r="F102" s="89">
        <f t="shared" ref="F102:P102" si="118">SUM(F96:F101)</f>
        <v>660000</v>
      </c>
      <c r="G102" s="89">
        <f t="shared" si="118"/>
        <v>660000</v>
      </c>
      <c r="H102" s="89">
        <f t="shared" si="118"/>
        <v>660000</v>
      </c>
      <c r="I102" s="89">
        <f t="shared" si="118"/>
        <v>660000</v>
      </c>
      <c r="J102" s="89">
        <f t="shared" si="118"/>
        <v>660000</v>
      </c>
      <c r="K102" s="89">
        <f t="shared" si="118"/>
        <v>660000</v>
      </c>
      <c r="L102" s="89">
        <f t="shared" si="118"/>
        <v>660000</v>
      </c>
      <c r="M102" s="89">
        <f t="shared" si="118"/>
        <v>660000</v>
      </c>
      <c r="N102" s="89">
        <f t="shared" si="118"/>
        <v>660000</v>
      </c>
      <c r="O102" s="89">
        <f t="shared" si="118"/>
        <v>660000</v>
      </c>
      <c r="P102" s="89">
        <f t="shared" si="118"/>
        <v>660000</v>
      </c>
      <c r="Q102" s="89">
        <f t="shared" ref="Q102:Y102" si="119">SUM(Q96:Q101)</f>
        <v>660000</v>
      </c>
      <c r="R102" s="122">
        <f t="shared" si="70"/>
        <v>8242261.1199999992</v>
      </c>
      <c r="S102" s="89">
        <f t="shared" ref="S102:X102" si="120">SUM(S96:S101)</f>
        <v>3074811.65</v>
      </c>
      <c r="T102" s="89">
        <f t="shared" si="120"/>
        <v>584336.21</v>
      </c>
      <c r="U102" s="89">
        <f t="shared" si="120"/>
        <v>631459.93999999994</v>
      </c>
      <c r="V102" s="89">
        <f t="shared" si="120"/>
        <v>556404.78999999992</v>
      </c>
      <c r="W102" s="89">
        <f t="shared" si="120"/>
        <v>505934.22</v>
      </c>
      <c r="X102" s="89">
        <f t="shared" si="120"/>
        <v>311669.05</v>
      </c>
      <c r="Y102" s="89">
        <f t="shared" si="119"/>
        <v>969422.46</v>
      </c>
      <c r="Z102" s="89">
        <f t="shared" ref="Z102:AD102" si="121">SUM(Z96:Z101)</f>
        <v>1028693.39</v>
      </c>
      <c r="AA102" s="89">
        <f t="shared" si="121"/>
        <v>570912.55000000005</v>
      </c>
      <c r="AB102" s="89">
        <f t="shared" si="121"/>
        <v>8616.86</v>
      </c>
      <c r="AC102" s="89">
        <f t="shared" si="121"/>
        <v>0</v>
      </c>
      <c r="AD102" s="89">
        <f t="shared" si="121"/>
        <v>0</v>
      </c>
      <c r="AE102" s="122">
        <f t="shared" si="72"/>
        <v>-322261.11999999918</v>
      </c>
      <c r="AF102" s="89">
        <f t="shared" si="73"/>
        <v>-2414811.65</v>
      </c>
      <c r="AG102" s="89">
        <f t="shared" si="74"/>
        <v>75663.790000000037</v>
      </c>
      <c r="AH102" s="89">
        <f t="shared" si="75"/>
        <v>28540.060000000056</v>
      </c>
      <c r="AI102" s="89">
        <f t="shared" si="76"/>
        <v>103595.21000000008</v>
      </c>
      <c r="AJ102" s="89">
        <f t="shared" si="77"/>
        <v>154065.78000000003</v>
      </c>
      <c r="AK102" s="89">
        <f t="shared" si="78"/>
        <v>348330.95</v>
      </c>
      <c r="AL102" s="89">
        <f t="shared" si="79"/>
        <v>-309422.45999999996</v>
      </c>
      <c r="AM102" s="89">
        <f t="shared" si="80"/>
        <v>-368693.39</v>
      </c>
      <c r="AN102" s="89">
        <f t="shared" si="81"/>
        <v>89087.449999999953</v>
      </c>
      <c r="AO102" s="89">
        <f t="shared" si="82"/>
        <v>651383.14</v>
      </c>
      <c r="AP102" s="89">
        <f t="shared" si="83"/>
        <v>660000</v>
      </c>
      <c r="AQ102" s="89">
        <f t="shared" si="84"/>
        <v>660000</v>
      </c>
      <c r="AS102" s="65"/>
    </row>
    <row r="103" spans="2:45" x14ac:dyDescent="0.35">
      <c r="B103" s="67" t="s">
        <v>96</v>
      </c>
      <c r="C103" s="90"/>
      <c r="D103" s="90"/>
      <c r="E103" s="125">
        <f t="shared" si="69"/>
        <v>12725980.000000007</v>
      </c>
      <c r="F103" s="91">
        <f t="shared" ref="F103:P103" si="122">F93+F102</f>
        <v>1060498.333333334</v>
      </c>
      <c r="G103" s="91">
        <f t="shared" si="122"/>
        <v>1060498.333333334</v>
      </c>
      <c r="H103" s="91">
        <f t="shared" si="122"/>
        <v>1060498.333333334</v>
      </c>
      <c r="I103" s="91">
        <f t="shared" si="122"/>
        <v>1060498.333333334</v>
      </c>
      <c r="J103" s="91">
        <f t="shared" si="122"/>
        <v>1060498.333333334</v>
      </c>
      <c r="K103" s="91">
        <f t="shared" si="122"/>
        <v>1060498.333333334</v>
      </c>
      <c r="L103" s="91">
        <f t="shared" si="122"/>
        <v>1060498.333333334</v>
      </c>
      <c r="M103" s="91">
        <f t="shared" si="122"/>
        <v>1060498.333333334</v>
      </c>
      <c r="N103" s="91">
        <f t="shared" si="122"/>
        <v>1060498.333333334</v>
      </c>
      <c r="O103" s="91">
        <f t="shared" si="122"/>
        <v>1060498.333333334</v>
      </c>
      <c r="P103" s="91">
        <f t="shared" si="122"/>
        <v>1060498.333333334</v>
      </c>
      <c r="Q103" s="91">
        <f t="shared" ref="Q103:Y103" si="123">Q93+Q102</f>
        <v>1060498.333333334</v>
      </c>
      <c r="R103" s="125">
        <f t="shared" si="70"/>
        <v>37457727.5</v>
      </c>
      <c r="S103" s="91">
        <f t="shared" ref="S103:X103" si="124">S93+S102</f>
        <v>5962420.3100000005</v>
      </c>
      <c r="T103" s="91">
        <f t="shared" si="124"/>
        <v>2924070.9400000004</v>
      </c>
      <c r="U103" s="91">
        <f t="shared" si="124"/>
        <v>-1338281.5900000012</v>
      </c>
      <c r="V103" s="91">
        <f t="shared" si="124"/>
        <v>15356136.66</v>
      </c>
      <c r="W103" s="91">
        <f t="shared" si="124"/>
        <v>11283273.25</v>
      </c>
      <c r="X103" s="91">
        <f t="shared" si="124"/>
        <v>-5379197.5599999996</v>
      </c>
      <c r="Y103" s="91">
        <f t="shared" si="123"/>
        <v>4166166.1900000004</v>
      </c>
      <c r="Z103" s="91">
        <f t="shared" ref="Z103:AD103" si="125">Z93+Z102</f>
        <v>221326.17999999912</v>
      </c>
      <c r="AA103" s="91">
        <f t="shared" si="125"/>
        <v>5392847.25</v>
      </c>
      <c r="AB103" s="91">
        <f t="shared" si="125"/>
        <v>-1131034.1299999999</v>
      </c>
      <c r="AC103" s="91">
        <f t="shared" si="125"/>
        <v>0</v>
      </c>
      <c r="AD103" s="91">
        <f t="shared" si="125"/>
        <v>0</v>
      </c>
      <c r="AE103" s="125">
        <f t="shared" si="72"/>
        <v>-24731747.499999993</v>
      </c>
      <c r="AF103" s="91">
        <f t="shared" si="73"/>
        <v>-4901921.9766666666</v>
      </c>
      <c r="AG103" s="91">
        <f t="shared" si="74"/>
        <v>-1863572.6066666665</v>
      </c>
      <c r="AH103" s="91">
        <f t="shared" si="75"/>
        <v>2398779.9233333352</v>
      </c>
      <c r="AI103" s="91">
        <f t="shared" si="76"/>
        <v>-14295638.326666666</v>
      </c>
      <c r="AJ103" s="91">
        <f t="shared" si="77"/>
        <v>-10222774.916666666</v>
      </c>
      <c r="AK103" s="91">
        <f t="shared" si="78"/>
        <v>6439695.8933333335</v>
      </c>
      <c r="AL103" s="91">
        <f t="shared" si="79"/>
        <v>-3105667.8566666665</v>
      </c>
      <c r="AM103" s="91">
        <f t="shared" si="80"/>
        <v>839172.15333333483</v>
      </c>
      <c r="AN103" s="91">
        <f t="shared" si="81"/>
        <v>-4332348.916666666</v>
      </c>
      <c r="AO103" s="91">
        <f t="shared" si="82"/>
        <v>2191532.4633333338</v>
      </c>
      <c r="AP103" s="91">
        <f t="shared" si="83"/>
        <v>1060498.333333334</v>
      </c>
      <c r="AQ103" s="91">
        <f t="shared" si="84"/>
        <v>1060498.333333334</v>
      </c>
      <c r="AS103" s="99"/>
    </row>
    <row r="104" spans="2:45" x14ac:dyDescent="0.35">
      <c r="B104" s="19"/>
      <c r="C104"/>
      <c r="D104"/>
      <c r="E104" s="116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116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16">
        <f t="shared" si="72"/>
        <v>0</v>
      </c>
      <c r="AF104" s="77">
        <f t="shared" si="73"/>
        <v>0</v>
      </c>
      <c r="AG104" s="77">
        <f t="shared" si="74"/>
        <v>0</v>
      </c>
      <c r="AH104" s="77">
        <f t="shared" si="75"/>
        <v>0</v>
      </c>
      <c r="AI104" s="77">
        <f t="shared" si="76"/>
        <v>0</v>
      </c>
      <c r="AJ104" s="77">
        <f t="shared" si="77"/>
        <v>0</v>
      </c>
      <c r="AK104" s="77">
        <f t="shared" si="78"/>
        <v>0</v>
      </c>
      <c r="AL104" s="77">
        <f t="shared" si="79"/>
        <v>0</v>
      </c>
      <c r="AM104" s="77">
        <f t="shared" si="80"/>
        <v>0</v>
      </c>
      <c r="AN104" s="77">
        <f t="shared" si="81"/>
        <v>0</v>
      </c>
      <c r="AO104" s="77">
        <f t="shared" si="82"/>
        <v>0</v>
      </c>
      <c r="AP104" s="77">
        <f t="shared" si="83"/>
        <v>0</v>
      </c>
      <c r="AQ104" s="77">
        <f t="shared" si="84"/>
        <v>0</v>
      </c>
      <c r="AS104" s="17"/>
    </row>
    <row r="105" spans="2:45" x14ac:dyDescent="0.35">
      <c r="B105" s="68" t="s">
        <v>97</v>
      </c>
      <c r="C105" s="93"/>
      <c r="D105" s="93"/>
      <c r="E105" s="127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127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127">
        <f t="shared" si="72"/>
        <v>0</v>
      </c>
      <c r="AF105" s="94">
        <f t="shared" si="73"/>
        <v>0</v>
      </c>
      <c r="AG105" s="94">
        <f t="shared" si="74"/>
        <v>0</v>
      </c>
      <c r="AH105" s="94">
        <f t="shared" si="75"/>
        <v>0</v>
      </c>
      <c r="AI105" s="94">
        <f t="shared" si="76"/>
        <v>0</v>
      </c>
      <c r="AJ105" s="94">
        <f t="shared" si="77"/>
        <v>0</v>
      </c>
      <c r="AK105" s="94">
        <f t="shared" si="78"/>
        <v>0</v>
      </c>
      <c r="AL105" s="94">
        <f t="shared" si="79"/>
        <v>0</v>
      </c>
      <c r="AM105" s="94">
        <f t="shared" si="80"/>
        <v>0</v>
      </c>
      <c r="AN105" s="94">
        <f t="shared" si="81"/>
        <v>0</v>
      </c>
      <c r="AO105" s="94">
        <f t="shared" si="82"/>
        <v>0</v>
      </c>
      <c r="AP105" s="94">
        <f t="shared" si="83"/>
        <v>0</v>
      </c>
      <c r="AQ105" s="94">
        <f t="shared" si="84"/>
        <v>0</v>
      </c>
      <c r="AS105" s="69"/>
    </row>
    <row r="106" spans="2:45" x14ac:dyDescent="0.35">
      <c r="B106" s="53" t="s">
        <v>98</v>
      </c>
      <c r="C106" s="76"/>
      <c r="D106" s="76"/>
      <c r="E106" s="115">
        <f t="shared" si="69"/>
        <v>0</v>
      </c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115">
        <f t="shared" si="70"/>
        <v>12580858</v>
      </c>
      <c r="S106" s="78">
        <f t="shared" ref="S106:X106" si="126">SUM(S107:S108)</f>
        <v>11472314</v>
      </c>
      <c r="T106" s="78">
        <f t="shared" si="126"/>
        <v>679074</v>
      </c>
      <c r="U106" s="78">
        <f t="shared" si="126"/>
        <v>-1426820</v>
      </c>
      <c r="V106" s="78">
        <f t="shared" si="126"/>
        <v>989250</v>
      </c>
      <c r="W106" s="78">
        <f t="shared" si="126"/>
        <v>-338475</v>
      </c>
      <c r="X106" s="78">
        <f t="shared" si="126"/>
        <v>2025340</v>
      </c>
      <c r="Y106" s="78">
        <f t="shared" ref="Y106" si="127">SUM(Y107:Y108)</f>
        <v>345737</v>
      </c>
      <c r="Z106" s="78">
        <f t="shared" ref="Z106:AD106" si="128">SUM(Z107:Z108)</f>
        <v>-1922649</v>
      </c>
      <c r="AA106" s="78">
        <f t="shared" si="128"/>
        <v>762198</v>
      </c>
      <c r="AB106" s="78">
        <f t="shared" si="128"/>
        <v>-5111</v>
      </c>
      <c r="AC106" s="78">
        <f t="shared" si="128"/>
        <v>0</v>
      </c>
      <c r="AD106" s="78">
        <f t="shared" si="128"/>
        <v>0</v>
      </c>
      <c r="AE106" s="115">
        <f t="shared" si="72"/>
        <v>-12580858</v>
      </c>
      <c r="AF106" s="78">
        <f t="shared" si="73"/>
        <v>-11472314</v>
      </c>
      <c r="AG106" s="78">
        <f t="shared" si="74"/>
        <v>-679074</v>
      </c>
      <c r="AH106" s="78">
        <f t="shared" si="75"/>
        <v>1426820</v>
      </c>
      <c r="AI106" s="78">
        <f t="shared" si="76"/>
        <v>-989250</v>
      </c>
      <c r="AJ106" s="78">
        <f t="shared" si="77"/>
        <v>338475</v>
      </c>
      <c r="AK106" s="78">
        <f t="shared" si="78"/>
        <v>-2025340</v>
      </c>
      <c r="AL106" s="78">
        <f t="shared" si="79"/>
        <v>-345737</v>
      </c>
      <c r="AM106" s="78">
        <f t="shared" si="80"/>
        <v>1922649</v>
      </c>
      <c r="AN106" s="78">
        <f t="shared" si="81"/>
        <v>-762198</v>
      </c>
      <c r="AO106" s="78">
        <f t="shared" si="82"/>
        <v>5111</v>
      </c>
      <c r="AP106" s="78">
        <f t="shared" si="83"/>
        <v>0</v>
      </c>
      <c r="AQ106" s="78">
        <f t="shared" si="84"/>
        <v>0</v>
      </c>
      <c r="AS106" s="54"/>
    </row>
    <row r="107" spans="2:45" x14ac:dyDescent="0.35">
      <c r="B107" s="18" t="s">
        <v>99</v>
      </c>
      <c r="C107"/>
      <c r="D107"/>
      <c r="E107" s="116">
        <f t="shared" si="69"/>
        <v>0</v>
      </c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116">
        <f t="shared" si="70"/>
        <v>12580858</v>
      </c>
      <c r="S107" s="77">
        <f t="shared" ref="S107:AD108" si="129">IFERROR(SUMIFS(Skutecnost,Skupina,$B107,Rok,S$4,Mesic,S$5),0)</f>
        <v>11472314</v>
      </c>
      <c r="T107" s="77">
        <f t="shared" si="129"/>
        <v>679074</v>
      </c>
      <c r="U107" s="77">
        <f t="shared" si="129"/>
        <v>-1426820</v>
      </c>
      <c r="V107" s="77">
        <f t="shared" si="129"/>
        <v>989250</v>
      </c>
      <c r="W107" s="77">
        <f t="shared" si="129"/>
        <v>-338475</v>
      </c>
      <c r="X107" s="77">
        <f t="shared" si="129"/>
        <v>2025340</v>
      </c>
      <c r="Y107" s="77">
        <f t="shared" si="129"/>
        <v>345737</v>
      </c>
      <c r="Z107" s="77">
        <f t="shared" si="129"/>
        <v>-1922649</v>
      </c>
      <c r="AA107" s="77">
        <f t="shared" si="129"/>
        <v>762198</v>
      </c>
      <c r="AB107" s="77">
        <f t="shared" si="129"/>
        <v>-5111</v>
      </c>
      <c r="AC107" s="77">
        <f t="shared" si="129"/>
        <v>0</v>
      </c>
      <c r="AD107" s="77">
        <f t="shared" si="129"/>
        <v>0</v>
      </c>
      <c r="AE107" s="116">
        <f t="shared" si="72"/>
        <v>-12580858</v>
      </c>
      <c r="AF107" s="77">
        <f t="shared" si="73"/>
        <v>-11472314</v>
      </c>
      <c r="AG107" s="77">
        <f t="shared" si="74"/>
        <v>-679074</v>
      </c>
      <c r="AH107" s="77">
        <f t="shared" si="75"/>
        <v>1426820</v>
      </c>
      <c r="AI107" s="77">
        <f t="shared" si="76"/>
        <v>-989250</v>
      </c>
      <c r="AJ107" s="77">
        <f t="shared" si="77"/>
        <v>338475</v>
      </c>
      <c r="AK107" s="77">
        <f t="shared" si="78"/>
        <v>-2025340</v>
      </c>
      <c r="AL107" s="77">
        <f t="shared" si="79"/>
        <v>-345737</v>
      </c>
      <c r="AM107" s="77">
        <f t="shared" si="80"/>
        <v>1922649</v>
      </c>
      <c r="AN107" s="77">
        <f t="shared" si="81"/>
        <v>-762198</v>
      </c>
      <c r="AO107" s="77">
        <f t="shared" si="82"/>
        <v>5111</v>
      </c>
      <c r="AP107" s="77">
        <f t="shared" si="83"/>
        <v>0</v>
      </c>
      <c r="AQ107" s="77">
        <f t="shared" si="84"/>
        <v>0</v>
      </c>
      <c r="AS107" s="17"/>
    </row>
    <row r="108" spans="2:45" x14ac:dyDescent="0.35">
      <c r="B108" s="18" t="s">
        <v>100</v>
      </c>
      <c r="C108"/>
      <c r="D108"/>
      <c r="E108" s="116">
        <f t="shared" si="69"/>
        <v>0</v>
      </c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116">
        <f t="shared" si="70"/>
        <v>0</v>
      </c>
      <c r="S108" s="77">
        <f t="shared" si="129"/>
        <v>0</v>
      </c>
      <c r="T108" s="77">
        <f t="shared" si="129"/>
        <v>0</v>
      </c>
      <c r="U108" s="77">
        <f t="shared" si="129"/>
        <v>0</v>
      </c>
      <c r="V108" s="77">
        <f t="shared" si="129"/>
        <v>0</v>
      </c>
      <c r="W108" s="77">
        <f t="shared" si="129"/>
        <v>0</v>
      </c>
      <c r="X108" s="77">
        <f t="shared" si="129"/>
        <v>0</v>
      </c>
      <c r="Y108" s="77">
        <f t="shared" si="129"/>
        <v>0</v>
      </c>
      <c r="Z108" s="77">
        <f t="shared" si="129"/>
        <v>0</v>
      </c>
      <c r="AA108" s="77">
        <f t="shared" si="129"/>
        <v>0</v>
      </c>
      <c r="AB108" s="77">
        <f t="shared" si="129"/>
        <v>0</v>
      </c>
      <c r="AC108" s="77">
        <f t="shared" si="129"/>
        <v>0</v>
      </c>
      <c r="AD108" s="77">
        <f t="shared" si="129"/>
        <v>0</v>
      </c>
      <c r="AE108" s="116">
        <f t="shared" si="72"/>
        <v>0</v>
      </c>
      <c r="AF108" s="77">
        <f t="shared" si="73"/>
        <v>0</v>
      </c>
      <c r="AG108" s="77">
        <f t="shared" si="74"/>
        <v>0</v>
      </c>
      <c r="AH108" s="77">
        <f t="shared" si="75"/>
        <v>0</v>
      </c>
      <c r="AI108" s="77">
        <f t="shared" si="76"/>
        <v>0</v>
      </c>
      <c r="AJ108" s="77">
        <f t="shared" si="77"/>
        <v>0</v>
      </c>
      <c r="AK108" s="77">
        <f t="shared" si="78"/>
        <v>0</v>
      </c>
      <c r="AL108" s="77">
        <f t="shared" si="79"/>
        <v>0</v>
      </c>
      <c r="AM108" s="77">
        <f t="shared" si="80"/>
        <v>0</v>
      </c>
      <c r="AN108" s="77">
        <f t="shared" si="81"/>
        <v>0</v>
      </c>
      <c r="AO108" s="77">
        <f t="shared" si="82"/>
        <v>0</v>
      </c>
      <c r="AP108" s="77">
        <f t="shared" si="83"/>
        <v>0</v>
      </c>
      <c r="AQ108" s="77">
        <f t="shared" si="84"/>
        <v>0</v>
      </c>
      <c r="AS108" s="17"/>
    </row>
    <row r="109" spans="2:45" x14ac:dyDescent="0.35">
      <c r="B109" s="19"/>
      <c r="C109"/>
      <c r="D109"/>
      <c r="E109" s="116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116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16">
        <f t="shared" si="72"/>
        <v>0</v>
      </c>
      <c r="AF109" s="77">
        <f t="shared" si="73"/>
        <v>0</v>
      </c>
      <c r="AG109" s="77">
        <f t="shared" si="74"/>
        <v>0</v>
      </c>
      <c r="AH109" s="77">
        <f t="shared" si="75"/>
        <v>0</v>
      </c>
      <c r="AI109" s="77">
        <f t="shared" si="76"/>
        <v>0</v>
      </c>
      <c r="AJ109" s="77">
        <f t="shared" si="77"/>
        <v>0</v>
      </c>
      <c r="AK109" s="77">
        <f t="shared" si="78"/>
        <v>0</v>
      </c>
      <c r="AL109" s="77">
        <f t="shared" si="79"/>
        <v>0</v>
      </c>
      <c r="AM109" s="77">
        <f t="shared" si="80"/>
        <v>0</v>
      </c>
      <c r="AN109" s="77">
        <f t="shared" si="81"/>
        <v>0</v>
      </c>
      <c r="AO109" s="77">
        <f t="shared" si="82"/>
        <v>0</v>
      </c>
      <c r="AP109" s="77">
        <f t="shared" si="83"/>
        <v>0</v>
      </c>
      <c r="AQ109" s="77">
        <f t="shared" si="84"/>
        <v>0</v>
      </c>
      <c r="AS109" s="17"/>
    </row>
    <row r="110" spans="2:45" x14ac:dyDescent="0.35">
      <c r="B110" s="68" t="s">
        <v>101</v>
      </c>
      <c r="C110" s="93"/>
      <c r="D110" s="93"/>
      <c r="E110" s="128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128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128">
        <f t="shared" si="72"/>
        <v>0</v>
      </c>
      <c r="AF110" s="95">
        <f t="shared" si="73"/>
        <v>0</v>
      </c>
      <c r="AG110" s="95">
        <f t="shared" si="74"/>
        <v>0</v>
      </c>
      <c r="AH110" s="95">
        <f t="shared" si="75"/>
        <v>0</v>
      </c>
      <c r="AI110" s="95">
        <f t="shared" si="76"/>
        <v>0</v>
      </c>
      <c r="AJ110" s="95">
        <f t="shared" si="77"/>
        <v>0</v>
      </c>
      <c r="AK110" s="95">
        <f t="shared" si="78"/>
        <v>0</v>
      </c>
      <c r="AL110" s="95">
        <f t="shared" si="79"/>
        <v>0</v>
      </c>
      <c r="AM110" s="95">
        <f t="shared" si="80"/>
        <v>0</v>
      </c>
      <c r="AN110" s="95">
        <f t="shared" si="81"/>
        <v>0</v>
      </c>
      <c r="AO110" s="95">
        <f t="shared" si="82"/>
        <v>0</v>
      </c>
      <c r="AP110" s="95">
        <f t="shared" si="83"/>
        <v>0</v>
      </c>
      <c r="AQ110" s="95">
        <f t="shared" si="84"/>
        <v>0</v>
      </c>
      <c r="AS110" s="70"/>
    </row>
    <row r="111" spans="2:45" x14ac:dyDescent="0.35">
      <c r="B111" s="53" t="s">
        <v>98</v>
      </c>
      <c r="C111" s="76"/>
      <c r="D111" s="76"/>
      <c r="E111" s="115">
        <f t="shared" si="69"/>
        <v>0</v>
      </c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115">
        <f t="shared" si="70"/>
        <v>10301136</v>
      </c>
      <c r="S111" s="78">
        <f t="shared" ref="S111:X111" si="130">SUM(S112:S114)</f>
        <v>13725777</v>
      </c>
      <c r="T111" s="78">
        <f t="shared" si="130"/>
        <v>-156542</v>
      </c>
      <c r="U111" s="78">
        <f t="shared" si="130"/>
        <v>-496429</v>
      </c>
      <c r="V111" s="78">
        <f t="shared" si="130"/>
        <v>-3506589</v>
      </c>
      <c r="W111" s="78">
        <f t="shared" si="130"/>
        <v>2202235</v>
      </c>
      <c r="X111" s="78">
        <f t="shared" si="130"/>
        <v>-4204348</v>
      </c>
      <c r="Y111" s="78">
        <f t="shared" ref="Y111" si="131">SUM(Y112:Y114)</f>
        <v>1865092</v>
      </c>
      <c r="Z111" s="78">
        <f t="shared" ref="Z111:AD111" si="132">SUM(Z112:Z114)</f>
        <v>609702</v>
      </c>
      <c r="AA111" s="78">
        <f t="shared" si="132"/>
        <v>262238</v>
      </c>
      <c r="AB111" s="78">
        <f t="shared" si="132"/>
        <v>0</v>
      </c>
      <c r="AC111" s="78">
        <f t="shared" si="132"/>
        <v>0</v>
      </c>
      <c r="AD111" s="78">
        <f t="shared" si="132"/>
        <v>0</v>
      </c>
      <c r="AE111" s="115">
        <f t="shared" si="72"/>
        <v>-10301136</v>
      </c>
      <c r="AF111" s="78">
        <f t="shared" si="73"/>
        <v>-13725777</v>
      </c>
      <c r="AG111" s="78">
        <f t="shared" si="74"/>
        <v>156542</v>
      </c>
      <c r="AH111" s="78">
        <f t="shared" si="75"/>
        <v>496429</v>
      </c>
      <c r="AI111" s="78">
        <f t="shared" si="76"/>
        <v>3506589</v>
      </c>
      <c r="AJ111" s="78">
        <f t="shared" si="77"/>
        <v>-2202235</v>
      </c>
      <c r="AK111" s="78">
        <f t="shared" si="78"/>
        <v>4204348</v>
      </c>
      <c r="AL111" s="78">
        <f t="shared" si="79"/>
        <v>-1865092</v>
      </c>
      <c r="AM111" s="78">
        <f t="shared" si="80"/>
        <v>-609702</v>
      </c>
      <c r="AN111" s="78">
        <f t="shared" si="81"/>
        <v>-262238</v>
      </c>
      <c r="AO111" s="78">
        <f t="shared" si="82"/>
        <v>0</v>
      </c>
      <c r="AP111" s="78">
        <f t="shared" si="83"/>
        <v>0</v>
      </c>
      <c r="AQ111" s="78">
        <f t="shared" si="84"/>
        <v>0</v>
      </c>
      <c r="AS111" s="54"/>
    </row>
    <row r="112" spans="2:45" x14ac:dyDescent="0.35">
      <c r="B112" s="18" t="s">
        <v>102</v>
      </c>
      <c r="C112"/>
      <c r="D112"/>
      <c r="E112" s="116">
        <f t="shared" si="69"/>
        <v>0</v>
      </c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116">
        <f t="shared" si="70"/>
        <v>1567176</v>
      </c>
      <c r="S112" s="77">
        <f t="shared" ref="S112:AD114" si="133">IFERROR(SUMIFS(Skutecnost,Skupina,$B112,Rok,S$4,Mesic,S$5),0)</f>
        <v>1685584</v>
      </c>
      <c r="T112" s="77">
        <f t="shared" si="133"/>
        <v>2924</v>
      </c>
      <c r="U112" s="77">
        <f t="shared" si="133"/>
        <v>-71098</v>
      </c>
      <c r="V112" s="77">
        <f t="shared" si="133"/>
        <v>39612</v>
      </c>
      <c r="W112" s="77">
        <f t="shared" si="133"/>
        <v>-40677</v>
      </c>
      <c r="X112" s="77">
        <f t="shared" si="133"/>
        <v>-69839</v>
      </c>
      <c r="Y112" s="77">
        <f t="shared" si="133"/>
        <v>36647</v>
      </c>
      <c r="Z112" s="77">
        <f t="shared" si="133"/>
        <v>-5230</v>
      </c>
      <c r="AA112" s="77">
        <f t="shared" si="133"/>
        <v>-10747</v>
      </c>
      <c r="AB112" s="77">
        <f t="shared" si="133"/>
        <v>0</v>
      </c>
      <c r="AC112" s="77">
        <f t="shared" si="133"/>
        <v>0</v>
      </c>
      <c r="AD112" s="77">
        <f t="shared" si="133"/>
        <v>0</v>
      </c>
      <c r="AE112" s="116">
        <f t="shared" si="72"/>
        <v>-1567176</v>
      </c>
      <c r="AF112" s="77">
        <f t="shared" si="73"/>
        <v>-1685584</v>
      </c>
      <c r="AG112" s="77">
        <f t="shared" si="74"/>
        <v>-2924</v>
      </c>
      <c r="AH112" s="77">
        <f t="shared" si="75"/>
        <v>71098</v>
      </c>
      <c r="AI112" s="77">
        <f t="shared" si="76"/>
        <v>-39612</v>
      </c>
      <c r="AJ112" s="77">
        <f t="shared" si="77"/>
        <v>40677</v>
      </c>
      <c r="AK112" s="77">
        <f t="shared" si="78"/>
        <v>69839</v>
      </c>
      <c r="AL112" s="77">
        <f t="shared" si="79"/>
        <v>-36647</v>
      </c>
      <c r="AM112" s="77">
        <f t="shared" si="80"/>
        <v>5230</v>
      </c>
      <c r="AN112" s="77">
        <f t="shared" si="81"/>
        <v>10747</v>
      </c>
      <c r="AO112" s="77">
        <f t="shared" si="82"/>
        <v>0</v>
      </c>
      <c r="AP112" s="77">
        <f t="shared" si="83"/>
        <v>0</v>
      </c>
      <c r="AQ112" s="77">
        <f t="shared" si="84"/>
        <v>0</v>
      </c>
      <c r="AS112" s="17"/>
    </row>
    <row r="113" spans="2:45" x14ac:dyDescent="0.35">
      <c r="B113" s="18" t="s">
        <v>103</v>
      </c>
      <c r="C113"/>
      <c r="D113"/>
      <c r="E113" s="116">
        <f t="shared" si="69"/>
        <v>0</v>
      </c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116">
        <f t="shared" si="70"/>
        <v>878698</v>
      </c>
      <c r="S113" s="77">
        <f t="shared" si="133"/>
        <v>925824</v>
      </c>
      <c r="T113" s="77">
        <f t="shared" si="133"/>
        <v>181160</v>
      </c>
      <c r="U113" s="77">
        <f t="shared" si="133"/>
        <v>269623</v>
      </c>
      <c r="V113" s="77">
        <f t="shared" si="133"/>
        <v>534456</v>
      </c>
      <c r="W113" s="77">
        <f t="shared" si="133"/>
        <v>-708203</v>
      </c>
      <c r="X113" s="77">
        <f t="shared" si="133"/>
        <v>-427404</v>
      </c>
      <c r="Y113" s="77">
        <f t="shared" si="133"/>
        <v>-165934</v>
      </c>
      <c r="Z113" s="77">
        <f t="shared" si="133"/>
        <v>-55116</v>
      </c>
      <c r="AA113" s="77">
        <f t="shared" si="133"/>
        <v>324292</v>
      </c>
      <c r="AB113" s="77">
        <f t="shared" si="133"/>
        <v>0</v>
      </c>
      <c r="AC113" s="77">
        <f t="shared" si="133"/>
        <v>0</v>
      </c>
      <c r="AD113" s="77">
        <f t="shared" si="133"/>
        <v>0</v>
      </c>
      <c r="AE113" s="116">
        <f t="shared" si="72"/>
        <v>-878698</v>
      </c>
      <c r="AF113" s="77">
        <f t="shared" si="73"/>
        <v>-925824</v>
      </c>
      <c r="AG113" s="77">
        <f t="shared" si="74"/>
        <v>-181160</v>
      </c>
      <c r="AH113" s="77">
        <f t="shared" si="75"/>
        <v>-269623</v>
      </c>
      <c r="AI113" s="77">
        <f t="shared" si="76"/>
        <v>-534456</v>
      </c>
      <c r="AJ113" s="77">
        <f t="shared" si="77"/>
        <v>708203</v>
      </c>
      <c r="AK113" s="77">
        <f t="shared" si="78"/>
        <v>427404</v>
      </c>
      <c r="AL113" s="77">
        <f t="shared" si="79"/>
        <v>165934</v>
      </c>
      <c r="AM113" s="77">
        <f t="shared" si="80"/>
        <v>55116</v>
      </c>
      <c r="AN113" s="77">
        <f t="shared" si="81"/>
        <v>-324292</v>
      </c>
      <c r="AO113" s="77">
        <f t="shared" si="82"/>
        <v>0</v>
      </c>
      <c r="AP113" s="77">
        <f t="shared" si="83"/>
        <v>0</v>
      </c>
      <c r="AQ113" s="77">
        <f t="shared" si="84"/>
        <v>0</v>
      </c>
      <c r="AS113" s="17"/>
    </row>
    <row r="114" spans="2:45" x14ac:dyDescent="0.35">
      <c r="B114" s="18" t="s">
        <v>104</v>
      </c>
      <c r="C114"/>
      <c r="D114"/>
      <c r="E114" s="116">
        <f t="shared" si="69"/>
        <v>0</v>
      </c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116">
        <f t="shared" si="70"/>
        <v>7855262</v>
      </c>
      <c r="S114" s="77">
        <f t="shared" si="133"/>
        <v>11114369</v>
      </c>
      <c r="T114" s="77">
        <f t="shared" si="133"/>
        <v>-340626</v>
      </c>
      <c r="U114" s="77">
        <f t="shared" si="133"/>
        <v>-694954</v>
      </c>
      <c r="V114" s="77">
        <f t="shared" si="133"/>
        <v>-4080657</v>
      </c>
      <c r="W114" s="77">
        <f t="shared" si="133"/>
        <v>2951115</v>
      </c>
      <c r="X114" s="77">
        <f t="shared" si="133"/>
        <v>-3707105</v>
      </c>
      <c r="Y114" s="77">
        <f t="shared" si="133"/>
        <v>1994379</v>
      </c>
      <c r="Z114" s="77">
        <f t="shared" si="133"/>
        <v>670048</v>
      </c>
      <c r="AA114" s="77">
        <f t="shared" si="133"/>
        <v>-51307</v>
      </c>
      <c r="AB114" s="77">
        <f t="shared" si="133"/>
        <v>0</v>
      </c>
      <c r="AC114" s="77">
        <f t="shared" si="133"/>
        <v>0</v>
      </c>
      <c r="AD114" s="77">
        <f t="shared" si="133"/>
        <v>0</v>
      </c>
      <c r="AE114" s="116">
        <f t="shared" si="72"/>
        <v>-7855262</v>
      </c>
      <c r="AF114" s="77">
        <f t="shared" si="73"/>
        <v>-11114369</v>
      </c>
      <c r="AG114" s="77">
        <f t="shared" si="74"/>
        <v>340626</v>
      </c>
      <c r="AH114" s="77">
        <f t="shared" si="75"/>
        <v>694954</v>
      </c>
      <c r="AI114" s="77">
        <f t="shared" si="76"/>
        <v>4080657</v>
      </c>
      <c r="AJ114" s="77">
        <f t="shared" si="77"/>
        <v>-2951115</v>
      </c>
      <c r="AK114" s="77">
        <f t="shared" si="78"/>
        <v>3707105</v>
      </c>
      <c r="AL114" s="77">
        <f t="shared" si="79"/>
        <v>-1994379</v>
      </c>
      <c r="AM114" s="77">
        <f t="shared" si="80"/>
        <v>-670048</v>
      </c>
      <c r="AN114" s="77">
        <f t="shared" si="81"/>
        <v>51307</v>
      </c>
      <c r="AO114" s="77">
        <f t="shared" si="82"/>
        <v>0</v>
      </c>
      <c r="AP114" s="77">
        <f t="shared" si="83"/>
        <v>0</v>
      </c>
      <c r="AQ114" s="77">
        <f t="shared" si="84"/>
        <v>0</v>
      </c>
      <c r="AS114" s="17"/>
    </row>
    <row r="115" spans="2:45" x14ac:dyDescent="0.35">
      <c r="B115" s="19"/>
      <c r="C115"/>
      <c r="D115"/>
      <c r="E115" s="116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116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16">
        <f t="shared" si="72"/>
        <v>0</v>
      </c>
      <c r="AF115" s="77">
        <f t="shared" si="73"/>
        <v>0</v>
      </c>
      <c r="AG115" s="77">
        <f t="shared" si="74"/>
        <v>0</v>
      </c>
      <c r="AH115" s="77">
        <f t="shared" si="75"/>
        <v>0</v>
      </c>
      <c r="AI115" s="77">
        <f t="shared" si="76"/>
        <v>0</v>
      </c>
      <c r="AJ115" s="77">
        <f t="shared" si="77"/>
        <v>0</v>
      </c>
      <c r="AK115" s="77">
        <f t="shared" si="78"/>
        <v>0</v>
      </c>
      <c r="AL115" s="77">
        <f t="shared" si="79"/>
        <v>0</v>
      </c>
      <c r="AM115" s="77">
        <f t="shared" si="80"/>
        <v>0</v>
      </c>
      <c r="AN115" s="77">
        <f t="shared" si="81"/>
        <v>0</v>
      </c>
      <c r="AO115" s="77">
        <f t="shared" si="82"/>
        <v>0</v>
      </c>
      <c r="AP115" s="77">
        <f t="shared" si="83"/>
        <v>0</v>
      </c>
      <c r="AQ115" s="77">
        <f t="shared" si="84"/>
        <v>0</v>
      </c>
      <c r="AS115" s="17"/>
    </row>
    <row r="116" spans="2:45" x14ac:dyDescent="0.35">
      <c r="B116" s="68" t="s">
        <v>107</v>
      </c>
      <c r="C116" s="93"/>
      <c r="D116" s="93"/>
      <c r="E116" s="128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128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128">
        <f t="shared" si="72"/>
        <v>0</v>
      </c>
      <c r="AF116" s="95">
        <f t="shared" si="73"/>
        <v>0</v>
      </c>
      <c r="AG116" s="95">
        <f t="shared" si="74"/>
        <v>0</v>
      </c>
      <c r="AH116" s="95">
        <f t="shared" si="75"/>
        <v>0</v>
      </c>
      <c r="AI116" s="95">
        <f t="shared" si="76"/>
        <v>0</v>
      </c>
      <c r="AJ116" s="95">
        <f t="shared" si="77"/>
        <v>0</v>
      </c>
      <c r="AK116" s="95">
        <f t="shared" si="78"/>
        <v>0</v>
      </c>
      <c r="AL116" s="95">
        <f t="shared" si="79"/>
        <v>0</v>
      </c>
      <c r="AM116" s="95">
        <f t="shared" si="80"/>
        <v>0</v>
      </c>
      <c r="AN116" s="95">
        <f t="shared" si="81"/>
        <v>0</v>
      </c>
      <c r="AO116" s="95">
        <f t="shared" si="82"/>
        <v>0</v>
      </c>
      <c r="AP116" s="95">
        <f t="shared" si="83"/>
        <v>0</v>
      </c>
      <c r="AQ116" s="95">
        <f t="shared" si="84"/>
        <v>0</v>
      </c>
      <c r="AS116" s="70"/>
    </row>
    <row r="117" spans="2:45" x14ac:dyDescent="0.35">
      <c r="B117" s="18" t="s">
        <v>105</v>
      </c>
      <c r="C117"/>
      <c r="D117"/>
      <c r="E117" s="116">
        <f t="shared" si="69"/>
        <v>0</v>
      </c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116">
        <f>SUM(S117:AD117)</f>
        <v>9445815</v>
      </c>
      <c r="S117" s="77">
        <f t="shared" ref="S117:AD117" si="134">IFERROR(SUMIFS(Skutecnost,Skupina,$B117,Rok,S$4,Mesic,S$5),0)</f>
        <v>10562085</v>
      </c>
      <c r="T117" s="77">
        <f t="shared" si="134"/>
        <v>-2346146</v>
      </c>
      <c r="U117" s="77">
        <f t="shared" si="134"/>
        <v>3572120</v>
      </c>
      <c r="V117" s="77">
        <f t="shared" si="134"/>
        <v>-900211</v>
      </c>
      <c r="W117" s="77">
        <f t="shared" si="134"/>
        <v>-2806769</v>
      </c>
      <c r="X117" s="77">
        <f t="shared" si="134"/>
        <v>306433</v>
      </c>
      <c r="Y117" s="77">
        <f t="shared" si="134"/>
        <v>4086061</v>
      </c>
      <c r="Z117" s="77">
        <f t="shared" si="134"/>
        <v>-3027758</v>
      </c>
      <c r="AA117" s="77">
        <f t="shared" si="134"/>
        <v>0</v>
      </c>
      <c r="AB117" s="77">
        <f t="shared" si="134"/>
        <v>0</v>
      </c>
      <c r="AC117" s="77">
        <f t="shared" si="134"/>
        <v>0</v>
      </c>
      <c r="AD117" s="77">
        <f t="shared" si="134"/>
        <v>0</v>
      </c>
      <c r="AE117" s="116">
        <f t="shared" si="72"/>
        <v>-9445815</v>
      </c>
      <c r="AF117" s="77">
        <f t="shared" si="73"/>
        <v>-10562085</v>
      </c>
      <c r="AG117" s="77">
        <f t="shared" si="74"/>
        <v>2346146</v>
      </c>
      <c r="AH117" s="77">
        <f t="shared" si="75"/>
        <v>-3572120</v>
      </c>
      <c r="AI117" s="77">
        <f t="shared" si="76"/>
        <v>900211</v>
      </c>
      <c r="AJ117" s="77">
        <f t="shared" si="77"/>
        <v>2806769</v>
      </c>
      <c r="AK117" s="77">
        <f t="shared" si="78"/>
        <v>-306433</v>
      </c>
      <c r="AL117" s="77">
        <f t="shared" si="79"/>
        <v>-4086061</v>
      </c>
      <c r="AM117" s="77">
        <f t="shared" si="80"/>
        <v>3027758</v>
      </c>
      <c r="AN117" s="77">
        <f t="shared" si="81"/>
        <v>0</v>
      </c>
      <c r="AO117" s="77">
        <f t="shared" si="82"/>
        <v>0</v>
      </c>
      <c r="AP117" s="77">
        <f t="shared" si="83"/>
        <v>0</v>
      </c>
      <c r="AQ117" s="77">
        <f t="shared" si="84"/>
        <v>0</v>
      </c>
      <c r="AS117" s="17"/>
    </row>
  </sheetData>
  <sheetProtection formatColumns="0" pivotTables="0"/>
  <dataConsolidate/>
  <hyperlinks>
    <hyperlink ref="B5" location="Aplikace!B5" tooltip="Změnový list" display="Aplikace!B5" xr:uid="{A160AEFF-0F0B-4EB9-910F-98367B0983D6}"/>
  </hyperlinks>
  <pageMargins left="0.7" right="0.7" top="0.78740157499999996" bottom="0.78740157499999996" header="0.3" footer="0.3"/>
  <pageSetup paperSize="9" scale="2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643E-8130-470D-82AF-F8B024154A7F}">
  <sheetPr codeName="List3">
    <outlinePr summaryRight="0"/>
  </sheetPr>
  <dimension ref="A1:AU117"/>
  <sheetViews>
    <sheetView showGridLines="0" showRowColHeaders="0" tabSelected="1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S9" sqref="AS9"/>
    </sheetView>
  </sheetViews>
  <sheetFormatPr defaultColWidth="8.6640625" defaultRowHeight="15" x14ac:dyDescent="0.35"/>
  <cols>
    <col min="1" max="1" width="2" style="16" customWidth="1"/>
    <col min="2" max="2" width="39" style="16" customWidth="1"/>
    <col min="3" max="3" width="9.44140625" style="41" customWidth="1"/>
    <col min="4" max="4" width="7" style="41" bestFit="1" customWidth="1"/>
    <col min="5" max="5" width="12.6640625" style="16" customWidth="1"/>
    <col min="6" max="17" width="12.6640625" style="5" hidden="1" customWidth="1"/>
    <col min="18" max="18" width="12.6640625" style="16" customWidth="1"/>
    <col min="19" max="19" width="12.6640625" style="5" customWidth="1"/>
    <col min="20" max="31" width="12.6640625" style="16" customWidth="1"/>
    <col min="32" max="32" width="12.6640625" style="5" customWidth="1"/>
    <col min="33" max="43" width="12.6640625" style="16" customWidth="1"/>
    <col min="44" max="44" width="9.44140625" style="16" customWidth="1"/>
    <col min="45" max="46" width="8.6640625" style="16"/>
    <col min="47" max="47" width="9.6640625" style="16" bestFit="1" customWidth="1"/>
    <col min="48" max="16384" width="8.6640625" style="16"/>
  </cols>
  <sheetData>
    <row r="1" spans="2:47" ht="15.6" customHeight="1" x14ac:dyDescent="0.35"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S1" s="16"/>
      <c r="AF1" s="16"/>
    </row>
    <row r="2" spans="2:47" ht="15.6" customHeight="1" x14ac:dyDescent="0.35"/>
    <row r="3" spans="2:47" ht="15.6" customHeight="1" x14ac:dyDescent="0.35"/>
    <row r="4" spans="2:47" s="31" customFormat="1" ht="15.6" customHeight="1" x14ac:dyDescent="0.35">
      <c r="B4" s="51"/>
      <c r="C4" s="51"/>
      <c r="D4" s="51"/>
      <c r="E4" s="51" t="s">
        <v>48</v>
      </c>
      <c r="F4" s="51">
        <v>2025</v>
      </c>
      <c r="G4" s="51">
        <v>2025</v>
      </c>
      <c r="H4" s="51">
        <v>2025</v>
      </c>
      <c r="I4" s="51">
        <v>2025</v>
      </c>
      <c r="J4" s="51">
        <v>2025</v>
      </c>
      <c r="K4" s="51">
        <v>2025</v>
      </c>
      <c r="L4" s="51">
        <v>2025</v>
      </c>
      <c r="M4" s="51">
        <v>2025</v>
      </c>
      <c r="N4" s="51">
        <v>2025</v>
      </c>
      <c r="O4" s="51">
        <v>2026</v>
      </c>
      <c r="P4" s="51">
        <v>2026</v>
      </c>
      <c r="Q4" s="51">
        <v>2026</v>
      </c>
      <c r="R4" s="51" t="s">
        <v>50</v>
      </c>
      <c r="S4" s="51">
        <v>2025</v>
      </c>
      <c r="T4" s="51">
        <v>2025</v>
      </c>
      <c r="U4" s="51">
        <v>2025</v>
      </c>
      <c r="V4" s="51">
        <v>2025</v>
      </c>
      <c r="W4" s="51">
        <v>2025</v>
      </c>
      <c r="X4" s="51">
        <v>2025</v>
      </c>
      <c r="Y4" s="51">
        <v>2025</v>
      </c>
      <c r="Z4" s="51">
        <v>2025</v>
      </c>
      <c r="AA4" s="51">
        <v>2025</v>
      </c>
      <c r="AB4" s="51">
        <v>2026</v>
      </c>
      <c r="AC4" s="51">
        <v>2026</v>
      </c>
      <c r="AD4" s="51">
        <v>2026</v>
      </c>
      <c r="AE4" s="51" t="s">
        <v>108</v>
      </c>
      <c r="AF4" s="51">
        <v>2025</v>
      </c>
      <c r="AG4" s="51">
        <v>2025</v>
      </c>
      <c r="AH4" s="51">
        <v>2025</v>
      </c>
      <c r="AI4" s="51">
        <v>2025</v>
      </c>
      <c r="AJ4" s="51">
        <v>2025</v>
      </c>
      <c r="AK4" s="51">
        <v>2025</v>
      </c>
      <c r="AL4" s="51">
        <v>2025</v>
      </c>
      <c r="AM4" s="51">
        <v>2025</v>
      </c>
      <c r="AN4" s="51">
        <v>2025</v>
      </c>
      <c r="AO4" s="51">
        <v>2026</v>
      </c>
      <c r="AP4" s="51">
        <v>2026</v>
      </c>
      <c r="AQ4" s="51">
        <v>2026</v>
      </c>
      <c r="AU4" s="16"/>
    </row>
    <row r="5" spans="2:47" s="31" customFormat="1" ht="15.6" customHeight="1" x14ac:dyDescent="0.35">
      <c r="B5" s="71" t="s">
        <v>302</v>
      </c>
      <c r="C5" s="51"/>
      <c r="D5" s="51" t="s">
        <v>118</v>
      </c>
      <c r="E5" s="51" t="s">
        <v>49</v>
      </c>
      <c r="F5" s="51">
        <v>4</v>
      </c>
      <c r="G5" s="51">
        <v>5</v>
      </c>
      <c r="H5" s="51">
        <v>6</v>
      </c>
      <c r="I5" s="51">
        <v>7</v>
      </c>
      <c r="J5" s="51">
        <v>8</v>
      </c>
      <c r="K5" s="51">
        <v>9</v>
      </c>
      <c r="L5" s="51">
        <v>10</v>
      </c>
      <c r="M5" s="51">
        <v>11</v>
      </c>
      <c r="N5" s="51">
        <v>12</v>
      </c>
      <c r="O5" s="51">
        <v>1</v>
      </c>
      <c r="P5" s="51">
        <v>2</v>
      </c>
      <c r="Q5" s="51">
        <v>3</v>
      </c>
      <c r="R5" s="51" t="s">
        <v>49</v>
      </c>
      <c r="S5" s="51">
        <v>4</v>
      </c>
      <c r="T5" s="51">
        <v>5</v>
      </c>
      <c r="U5" s="51">
        <v>6</v>
      </c>
      <c r="V5" s="51">
        <v>7</v>
      </c>
      <c r="W5" s="51">
        <v>8</v>
      </c>
      <c r="X5" s="51">
        <v>9</v>
      </c>
      <c r="Y5" s="51">
        <v>10</v>
      </c>
      <c r="Z5" s="51">
        <v>11</v>
      </c>
      <c r="AA5" s="51">
        <v>12</v>
      </c>
      <c r="AB5" s="51">
        <v>1</v>
      </c>
      <c r="AC5" s="51">
        <v>2</v>
      </c>
      <c r="AD5" s="51">
        <v>3</v>
      </c>
      <c r="AE5" s="51" t="s">
        <v>49</v>
      </c>
      <c r="AF5" s="51">
        <v>4</v>
      </c>
      <c r="AG5" s="51">
        <v>5</v>
      </c>
      <c r="AH5" s="51">
        <v>6</v>
      </c>
      <c r="AI5" s="51">
        <v>7</v>
      </c>
      <c r="AJ5" s="51">
        <v>8</v>
      </c>
      <c r="AK5" s="51">
        <v>9</v>
      </c>
      <c r="AL5" s="51">
        <v>10</v>
      </c>
      <c r="AM5" s="51">
        <v>11</v>
      </c>
      <c r="AN5" s="51">
        <v>12</v>
      </c>
      <c r="AO5" s="51">
        <v>1</v>
      </c>
      <c r="AP5" s="51">
        <v>2</v>
      </c>
      <c r="AQ5" s="51">
        <v>3</v>
      </c>
    </row>
    <row r="6" spans="2:47" ht="15.6" customHeight="1" x14ac:dyDescent="0.35">
      <c r="B6" s="52" t="s">
        <v>68</v>
      </c>
      <c r="C6" s="52"/>
      <c r="D6" s="52"/>
      <c r="E6" s="10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10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10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31"/>
    </row>
    <row r="7" spans="2:47" x14ac:dyDescent="0.35">
      <c r="B7" s="53" t="s">
        <v>51</v>
      </c>
      <c r="C7" s="72" t="b">
        <v>0</v>
      </c>
      <c r="D7" s="72" t="b">
        <v>1</v>
      </c>
      <c r="E7" s="103">
        <f>MAX(F7:Q7)</f>
        <v>304583.33333333331</v>
      </c>
      <c r="F7" s="54">
        <v>60916.666666666664</v>
      </c>
      <c r="G7" s="54">
        <v>121833.33333333333</v>
      </c>
      <c r="H7" s="54">
        <v>182750</v>
      </c>
      <c r="I7" s="54">
        <v>243666.66666666666</v>
      </c>
      <c r="J7" s="54">
        <v>304583.33333333331</v>
      </c>
      <c r="K7" s="54"/>
      <c r="L7" s="54"/>
      <c r="M7" s="54"/>
      <c r="N7" s="54"/>
      <c r="O7" s="54"/>
      <c r="P7" s="54"/>
      <c r="Q7" s="54"/>
      <c r="R7" s="103" cm="1">
        <f t="array" ref="R7">LOOKUP(2,1/(ISNUMBER(S7:AD7)),S7:AD7)</f>
        <v>349670</v>
      </c>
      <c r="S7" s="54">
        <v>30659</v>
      </c>
      <c r="T7" s="54">
        <v>113418</v>
      </c>
      <c r="U7" s="54">
        <v>205254</v>
      </c>
      <c r="V7" s="54">
        <v>259804</v>
      </c>
      <c r="W7" s="54">
        <v>349670</v>
      </c>
      <c r="X7" s="54"/>
      <c r="Y7" s="54"/>
      <c r="Z7" s="54"/>
      <c r="AA7" s="54"/>
      <c r="AB7" s="54"/>
      <c r="AC7" s="54"/>
      <c r="AD7" s="54"/>
      <c r="AE7" s="103" cm="1">
        <f t="array" ref="AE7">LOOKUP(2,1/(ISNUMBER(AF7:AQ7)),AF7:AQ7)</f>
        <v>-45086.666666666679</v>
      </c>
      <c r="AF7" s="54">
        <v>30257.666666666664</v>
      </c>
      <c r="AG7" s="54">
        <v>8415.3333333333285</v>
      </c>
      <c r="AH7" s="54">
        <v>-22504.000000000007</v>
      </c>
      <c r="AI7" s="54">
        <v>-16137.333333333343</v>
      </c>
      <c r="AJ7" s="54">
        <v>-45086.666666666679</v>
      </c>
      <c r="AK7" s="54"/>
      <c r="AL7" s="54"/>
      <c r="AM7" s="54"/>
      <c r="AN7" s="54"/>
      <c r="AO7" s="54"/>
      <c r="AP7" s="54"/>
      <c r="AQ7" s="54"/>
    </row>
    <row r="8" spans="2:47" x14ac:dyDescent="0.35">
      <c r="B8" s="18" t="s">
        <v>8</v>
      </c>
      <c r="C8" s="21" t="b">
        <v>0</v>
      </c>
      <c r="D8" s="21" t="b">
        <v>1</v>
      </c>
      <c r="E8" s="104">
        <f>MAX(F8:Q8)</f>
        <v>27083.333333333336</v>
      </c>
      <c r="F8" s="17">
        <v>5416.666666666667</v>
      </c>
      <c r="G8" s="17">
        <v>10833.333333333334</v>
      </c>
      <c r="H8" s="17">
        <v>16250</v>
      </c>
      <c r="I8" s="17">
        <v>21666.666666666668</v>
      </c>
      <c r="J8" s="17">
        <v>27083.333333333336</v>
      </c>
      <c r="K8" s="17"/>
      <c r="L8" s="17"/>
      <c r="M8" s="17"/>
      <c r="N8" s="17"/>
      <c r="O8" s="17"/>
      <c r="P8" s="17"/>
      <c r="Q8" s="17"/>
      <c r="R8" s="104" cm="1">
        <f t="array" ref="R8">LOOKUP(2,1/(ISNUMBER(S8:AD8)),S8:AD8)</f>
        <v>16017</v>
      </c>
      <c r="S8" s="17">
        <v>3250</v>
      </c>
      <c r="T8" s="17">
        <v>3250</v>
      </c>
      <c r="U8" s="17">
        <v>11894</v>
      </c>
      <c r="V8" s="17">
        <v>15811</v>
      </c>
      <c r="W8" s="17">
        <v>16017</v>
      </c>
      <c r="X8" s="17"/>
      <c r="Y8" s="17"/>
      <c r="Z8" s="17"/>
      <c r="AA8" s="17"/>
      <c r="AB8" s="17"/>
      <c r="AC8" s="17"/>
      <c r="AD8" s="17"/>
      <c r="AE8" s="104" cm="1">
        <f t="array" ref="AE8">LOOKUP(2,1/(ISNUMBER(AF8:AQ8)),AF8:AQ8)</f>
        <v>11066.333333333336</v>
      </c>
      <c r="AF8" s="17">
        <v>2166.666666666667</v>
      </c>
      <c r="AG8" s="17">
        <v>7583.3333333333339</v>
      </c>
      <c r="AH8" s="17">
        <v>4356.0000000000009</v>
      </c>
      <c r="AI8" s="17">
        <v>5855.6666666666679</v>
      </c>
      <c r="AJ8" s="17">
        <v>11066.333333333336</v>
      </c>
      <c r="AK8" s="17"/>
      <c r="AL8" s="17"/>
      <c r="AM8" s="17"/>
      <c r="AN8" s="17"/>
      <c r="AO8" s="17"/>
      <c r="AP8" s="17"/>
      <c r="AQ8" s="17"/>
    </row>
    <row r="9" spans="2:47" x14ac:dyDescent="0.35">
      <c r="B9" s="18" t="s">
        <v>52</v>
      </c>
      <c r="C9" s="21" t="b">
        <v>0</v>
      </c>
      <c r="D9" s="21" t="b">
        <v>1</v>
      </c>
      <c r="E9" s="104">
        <f t="shared" ref="E9:E22" si="0">MAX(F9:Q9)</f>
        <v>6250</v>
      </c>
      <c r="F9" s="17">
        <v>1250</v>
      </c>
      <c r="G9" s="17">
        <v>2500</v>
      </c>
      <c r="H9" s="17">
        <v>3750</v>
      </c>
      <c r="I9" s="17">
        <v>5000</v>
      </c>
      <c r="J9" s="17">
        <v>6250</v>
      </c>
      <c r="K9" s="17"/>
      <c r="L9" s="17"/>
      <c r="M9" s="17"/>
      <c r="N9" s="17"/>
      <c r="O9" s="17"/>
      <c r="P9" s="17"/>
      <c r="Q9" s="17"/>
      <c r="R9" s="104" cm="1">
        <f t="array" ref="R9">LOOKUP(2,1/(ISNUMBER(S9:AD9)),S9:AD9)</f>
        <v>11996</v>
      </c>
      <c r="S9" s="17">
        <v>0</v>
      </c>
      <c r="T9" s="17">
        <v>0</v>
      </c>
      <c r="U9" s="17">
        <v>3488</v>
      </c>
      <c r="V9" s="17">
        <v>3488</v>
      </c>
      <c r="W9" s="17">
        <v>11996</v>
      </c>
      <c r="X9" s="17"/>
      <c r="Y9" s="17"/>
      <c r="Z9" s="17"/>
      <c r="AA9" s="17"/>
      <c r="AB9" s="17"/>
      <c r="AC9" s="17"/>
      <c r="AD9" s="17"/>
      <c r="AE9" s="104" cm="1">
        <f t="array" ref="AE9">LOOKUP(2,1/(ISNUMBER(AF9:AQ9)),AF9:AQ9)</f>
        <v>-5746</v>
      </c>
      <c r="AF9" s="17">
        <v>1250</v>
      </c>
      <c r="AG9" s="17">
        <v>2500</v>
      </c>
      <c r="AH9" s="17">
        <v>262</v>
      </c>
      <c r="AI9" s="17">
        <v>1512</v>
      </c>
      <c r="AJ9" s="17">
        <v>-5746</v>
      </c>
      <c r="AK9" s="17"/>
      <c r="AL9" s="17"/>
      <c r="AM9" s="17"/>
      <c r="AN9" s="17"/>
      <c r="AO9" s="17"/>
      <c r="AP9" s="17"/>
      <c r="AQ9" s="17"/>
    </row>
    <row r="10" spans="2:47" x14ac:dyDescent="0.35">
      <c r="B10" s="18" t="s">
        <v>22</v>
      </c>
      <c r="C10" s="21" t="b">
        <v>0</v>
      </c>
      <c r="D10" s="21" t="b">
        <v>1</v>
      </c>
      <c r="E10" s="104">
        <f t="shared" si="0"/>
        <v>25000</v>
      </c>
      <c r="F10" s="17">
        <v>5000</v>
      </c>
      <c r="G10" s="17">
        <v>10000</v>
      </c>
      <c r="H10" s="17">
        <v>15000</v>
      </c>
      <c r="I10" s="17">
        <v>20000</v>
      </c>
      <c r="J10" s="17">
        <v>25000</v>
      </c>
      <c r="K10" s="17"/>
      <c r="L10" s="17"/>
      <c r="M10" s="17"/>
      <c r="N10" s="17"/>
      <c r="O10" s="17"/>
      <c r="P10" s="17"/>
      <c r="Q10" s="17"/>
      <c r="R10" s="104" cm="1">
        <f t="array" ref="R10">LOOKUP(2,1/(ISNUMBER(S10:AD10)),S10:AD10)</f>
        <v>21728</v>
      </c>
      <c r="S10" s="17">
        <v>1615</v>
      </c>
      <c r="T10" s="17">
        <v>6348</v>
      </c>
      <c r="U10" s="17">
        <v>11889</v>
      </c>
      <c r="V10" s="17">
        <v>20044</v>
      </c>
      <c r="W10" s="17">
        <v>21728</v>
      </c>
      <c r="X10" s="17"/>
      <c r="Y10" s="17"/>
      <c r="Z10" s="17"/>
      <c r="AA10" s="17"/>
      <c r="AB10" s="17"/>
      <c r="AC10" s="17"/>
      <c r="AD10" s="17"/>
      <c r="AE10" s="104" cm="1">
        <f t="array" ref="AE10">LOOKUP(2,1/(ISNUMBER(AF10:AQ10)),AF10:AQ10)</f>
        <v>3272</v>
      </c>
      <c r="AF10" s="17">
        <v>3385</v>
      </c>
      <c r="AG10" s="17">
        <v>3652</v>
      </c>
      <c r="AH10" s="17">
        <v>3111</v>
      </c>
      <c r="AI10" s="17">
        <v>-44</v>
      </c>
      <c r="AJ10" s="17">
        <v>3272</v>
      </c>
      <c r="AK10" s="17"/>
      <c r="AL10" s="17"/>
      <c r="AM10" s="17"/>
      <c r="AN10" s="17"/>
      <c r="AO10" s="17"/>
      <c r="AP10" s="17"/>
      <c r="AQ10" s="17"/>
    </row>
    <row r="11" spans="2:47" x14ac:dyDescent="0.35">
      <c r="B11" s="18" t="s">
        <v>11</v>
      </c>
      <c r="C11" s="21" t="b">
        <v>0</v>
      </c>
      <c r="D11" s="21" t="b">
        <v>1</v>
      </c>
      <c r="E11" s="104">
        <f t="shared" si="0"/>
        <v>116666.66666666666</v>
      </c>
      <c r="F11" s="17">
        <v>23333.333333333332</v>
      </c>
      <c r="G11" s="17">
        <v>46666.666666666664</v>
      </c>
      <c r="H11" s="17">
        <v>70000</v>
      </c>
      <c r="I11" s="17">
        <v>93333.333333333328</v>
      </c>
      <c r="J11" s="17">
        <v>116666.66666666666</v>
      </c>
      <c r="K11" s="17"/>
      <c r="L11" s="17"/>
      <c r="M11" s="17"/>
      <c r="N11" s="17"/>
      <c r="O11" s="17"/>
      <c r="P11" s="17"/>
      <c r="Q11" s="17"/>
      <c r="R11" s="104" cm="1">
        <f t="array" ref="R11">LOOKUP(2,1/(ISNUMBER(S11:AD11)),S11:AD11)</f>
        <v>72651</v>
      </c>
      <c r="S11" s="17">
        <v>10310</v>
      </c>
      <c r="T11" s="17">
        <v>31264</v>
      </c>
      <c r="U11" s="17">
        <v>34467</v>
      </c>
      <c r="V11" s="17">
        <v>48744</v>
      </c>
      <c r="W11" s="17">
        <v>72651</v>
      </c>
      <c r="X11" s="17"/>
      <c r="Y11" s="17"/>
      <c r="Z11" s="17"/>
      <c r="AA11" s="17"/>
      <c r="AB11" s="17"/>
      <c r="AC11" s="17"/>
      <c r="AD11" s="17"/>
      <c r="AE11" s="104" cm="1">
        <f t="array" ref="AE11">LOOKUP(2,1/(ISNUMBER(AF11:AQ11)),AF11:AQ11)</f>
        <v>44015.666666666657</v>
      </c>
      <c r="AF11" s="17">
        <v>13023.333333333332</v>
      </c>
      <c r="AG11" s="17">
        <v>15402.666666666664</v>
      </c>
      <c r="AH11" s="17">
        <v>35533</v>
      </c>
      <c r="AI11" s="17">
        <v>44589.333333333328</v>
      </c>
      <c r="AJ11" s="17">
        <v>44015.666666666657</v>
      </c>
      <c r="AK11" s="17"/>
      <c r="AL11" s="17"/>
      <c r="AM11" s="17"/>
      <c r="AN11" s="17"/>
      <c r="AO11" s="17"/>
      <c r="AP11" s="17"/>
      <c r="AQ11" s="17"/>
    </row>
    <row r="12" spans="2:47" x14ac:dyDescent="0.35">
      <c r="B12" s="18" t="s">
        <v>19</v>
      </c>
      <c r="C12" s="21" t="b">
        <v>0</v>
      </c>
      <c r="D12" s="21" t="b">
        <v>1</v>
      </c>
      <c r="E12" s="104">
        <f t="shared" si="0"/>
        <v>4583.333333333333</v>
      </c>
      <c r="F12" s="17">
        <v>916.66666666666663</v>
      </c>
      <c r="G12" s="17">
        <v>1833.3333333333333</v>
      </c>
      <c r="H12" s="17">
        <v>2750</v>
      </c>
      <c r="I12" s="17">
        <v>3666.6666666666665</v>
      </c>
      <c r="J12" s="17">
        <v>4583.333333333333</v>
      </c>
      <c r="K12" s="17"/>
      <c r="L12" s="17"/>
      <c r="M12" s="17"/>
      <c r="N12" s="17"/>
      <c r="O12" s="17"/>
      <c r="P12" s="17"/>
      <c r="Q12" s="17"/>
      <c r="R12" s="104" cm="1">
        <f t="array" ref="R12">LOOKUP(2,1/(ISNUMBER(S12:AD12)),S12:AD12)</f>
        <v>5255</v>
      </c>
      <c r="S12" s="17">
        <v>766</v>
      </c>
      <c r="T12" s="17">
        <v>5255</v>
      </c>
      <c r="U12" s="17">
        <v>5255</v>
      </c>
      <c r="V12" s="17">
        <v>5255</v>
      </c>
      <c r="W12" s="17">
        <v>5255</v>
      </c>
      <c r="X12" s="17"/>
      <c r="Y12" s="17"/>
      <c r="Z12" s="17"/>
      <c r="AA12" s="17"/>
      <c r="AB12" s="17"/>
      <c r="AC12" s="17"/>
      <c r="AD12" s="17"/>
      <c r="AE12" s="104" cm="1">
        <f t="array" ref="AE12">LOOKUP(2,1/(ISNUMBER(AF12:AQ12)),AF12:AQ12)</f>
        <v>-671.66666666666731</v>
      </c>
      <c r="AF12" s="17">
        <v>150.66666666666663</v>
      </c>
      <c r="AG12" s="17">
        <v>-3421.666666666667</v>
      </c>
      <c r="AH12" s="17">
        <v>-2505.0000000000005</v>
      </c>
      <c r="AI12" s="17">
        <v>-1588.3333333333339</v>
      </c>
      <c r="AJ12" s="17">
        <v>-671.66666666666731</v>
      </c>
      <c r="AK12" s="17"/>
      <c r="AL12" s="17"/>
      <c r="AM12" s="17"/>
      <c r="AN12" s="17"/>
      <c r="AO12" s="17"/>
      <c r="AP12" s="17"/>
      <c r="AQ12" s="17"/>
    </row>
    <row r="13" spans="2:47" x14ac:dyDescent="0.35">
      <c r="B13" s="18" t="s">
        <v>41</v>
      </c>
      <c r="C13" s="21" t="b">
        <v>0</v>
      </c>
      <c r="D13" s="21" t="b">
        <v>1</v>
      </c>
      <c r="E13" s="104">
        <f t="shared" si="0"/>
        <v>104166.66666666666</v>
      </c>
      <c r="F13" s="17">
        <v>20833.333333333332</v>
      </c>
      <c r="G13" s="17">
        <v>41666.666666666664</v>
      </c>
      <c r="H13" s="17">
        <v>62500</v>
      </c>
      <c r="I13" s="17">
        <v>83333.333333333328</v>
      </c>
      <c r="J13" s="17">
        <v>104166.66666666666</v>
      </c>
      <c r="K13" s="17"/>
      <c r="L13" s="17"/>
      <c r="M13" s="17"/>
      <c r="N13" s="17"/>
      <c r="O13" s="17"/>
      <c r="P13" s="17"/>
      <c r="Q13" s="17"/>
      <c r="R13" s="104" cm="1">
        <f t="array" ref="R13">LOOKUP(2,1/(ISNUMBER(S13:AD13)),S13:AD13)</f>
        <v>85300</v>
      </c>
      <c r="S13" s="17">
        <v>0</v>
      </c>
      <c r="T13" s="17">
        <v>15759</v>
      </c>
      <c r="U13" s="17">
        <v>41269</v>
      </c>
      <c r="V13" s="17">
        <v>51252</v>
      </c>
      <c r="W13" s="17">
        <v>85300</v>
      </c>
      <c r="X13" s="17"/>
      <c r="Y13" s="17"/>
      <c r="Z13" s="17"/>
      <c r="AA13" s="17"/>
      <c r="AB13" s="17"/>
      <c r="AC13" s="17"/>
      <c r="AD13" s="17"/>
      <c r="AE13" s="104" cm="1">
        <f t="array" ref="AE13">LOOKUP(2,1/(ISNUMBER(AF13:AQ13)),AF13:AQ13)</f>
        <v>18866.666666666661</v>
      </c>
      <c r="AF13" s="17">
        <v>20833.333333333332</v>
      </c>
      <c r="AG13" s="17">
        <v>25907.666666666664</v>
      </c>
      <c r="AH13" s="17">
        <v>21230.999999999996</v>
      </c>
      <c r="AI13" s="17">
        <v>32081.333333333328</v>
      </c>
      <c r="AJ13" s="17">
        <v>18866.666666666661</v>
      </c>
      <c r="AK13" s="17"/>
      <c r="AL13" s="17"/>
      <c r="AM13" s="17"/>
      <c r="AN13" s="17"/>
      <c r="AO13" s="17"/>
      <c r="AP13" s="17"/>
      <c r="AQ13" s="17"/>
    </row>
    <row r="14" spans="2:47" x14ac:dyDescent="0.35">
      <c r="B14" s="18" t="s">
        <v>23</v>
      </c>
      <c r="C14" s="21" t="b">
        <v>0</v>
      </c>
      <c r="D14" s="21" t="b">
        <v>1</v>
      </c>
      <c r="E14" s="104">
        <f t="shared" si="0"/>
        <v>20833.333333333336</v>
      </c>
      <c r="F14" s="17">
        <v>4166.666666666667</v>
      </c>
      <c r="G14" s="17">
        <v>8333.3333333333339</v>
      </c>
      <c r="H14" s="17">
        <v>12500</v>
      </c>
      <c r="I14" s="17">
        <v>16666.666666666668</v>
      </c>
      <c r="J14" s="17">
        <v>20833.333333333336</v>
      </c>
      <c r="K14" s="17"/>
      <c r="L14" s="17"/>
      <c r="M14" s="17"/>
      <c r="N14" s="17"/>
      <c r="O14" s="17"/>
      <c r="P14" s="17"/>
      <c r="Q14" s="17"/>
      <c r="R14" s="104" cm="1">
        <f t="array" ref="R14">LOOKUP(2,1/(ISNUMBER(S14:AD14)),S14:AD14)</f>
        <v>136723</v>
      </c>
      <c r="S14" s="17">
        <v>14718</v>
      </c>
      <c r="T14" s="17">
        <v>51542</v>
      </c>
      <c r="U14" s="17">
        <v>96992</v>
      </c>
      <c r="V14" s="17">
        <v>115210</v>
      </c>
      <c r="W14" s="17">
        <v>136723</v>
      </c>
      <c r="X14" s="17"/>
      <c r="Y14" s="17"/>
      <c r="Z14" s="17"/>
      <c r="AA14" s="17"/>
      <c r="AB14" s="17"/>
      <c r="AC14" s="17"/>
      <c r="AD14" s="17"/>
      <c r="AE14" s="104" cm="1">
        <f t="array" ref="AE14">LOOKUP(2,1/(ISNUMBER(AF14:AQ14)),AF14:AQ14)</f>
        <v>-115889.66666666666</v>
      </c>
      <c r="AF14" s="17">
        <v>-10551.333333333332</v>
      </c>
      <c r="AG14" s="17">
        <v>-43208.666666666664</v>
      </c>
      <c r="AH14" s="17">
        <v>-84492</v>
      </c>
      <c r="AI14" s="17">
        <v>-98543.333333333328</v>
      </c>
      <c r="AJ14" s="17">
        <v>-115889.66666666666</v>
      </c>
      <c r="AK14" s="17"/>
      <c r="AL14" s="17"/>
      <c r="AM14" s="17"/>
      <c r="AN14" s="17"/>
      <c r="AO14" s="17"/>
      <c r="AP14" s="17"/>
      <c r="AQ14" s="17"/>
    </row>
    <row r="15" spans="2:47" x14ac:dyDescent="0.35">
      <c r="B15" s="55" t="s">
        <v>53</v>
      </c>
      <c r="C15" s="72" t="b">
        <v>0</v>
      </c>
      <c r="D15" s="72" t="b">
        <v>1</v>
      </c>
      <c r="E15" s="103">
        <f>MAX(F15:Q15)</f>
        <v>95000.000000000015</v>
      </c>
      <c r="F15" s="54">
        <v>19000.000000000004</v>
      </c>
      <c r="G15" s="54">
        <v>38000.000000000007</v>
      </c>
      <c r="H15" s="54">
        <v>57000.000000000015</v>
      </c>
      <c r="I15" s="54">
        <v>76000.000000000015</v>
      </c>
      <c r="J15" s="54">
        <v>95000.000000000015</v>
      </c>
      <c r="K15" s="54"/>
      <c r="L15" s="54"/>
      <c r="M15" s="54"/>
      <c r="N15" s="54"/>
      <c r="O15" s="54"/>
      <c r="P15" s="54"/>
      <c r="Q15" s="54"/>
      <c r="R15" s="103" cm="1">
        <f t="array" ref="R15">LOOKUP(2,1/(ISNUMBER(S15:AD15)),S15:AD15)</f>
        <v>44937.600000000006</v>
      </c>
      <c r="S15" s="54">
        <v>7444.4000000000005</v>
      </c>
      <c r="T15" s="54">
        <v>14417.400000000001</v>
      </c>
      <c r="U15" s="54">
        <v>37698.800000000003</v>
      </c>
      <c r="V15" s="54">
        <v>44937.600000000006</v>
      </c>
      <c r="W15" s="54">
        <v>44937.600000000006</v>
      </c>
      <c r="X15" s="54"/>
      <c r="Y15" s="54"/>
      <c r="Z15" s="54"/>
      <c r="AA15" s="54"/>
      <c r="AB15" s="54"/>
      <c r="AC15" s="54"/>
      <c r="AD15" s="54"/>
      <c r="AE15" s="103" cm="1">
        <f t="array" ref="AE15">LOOKUP(2,1/(ISNUMBER(AF15:AQ15)),AF15:AQ15)</f>
        <v>50062.400000000016</v>
      </c>
      <c r="AF15" s="54">
        <v>11555.600000000002</v>
      </c>
      <c r="AG15" s="54">
        <v>23582.600000000006</v>
      </c>
      <c r="AH15" s="54">
        <v>19301.200000000008</v>
      </c>
      <c r="AI15" s="54">
        <v>31062.400000000012</v>
      </c>
      <c r="AJ15" s="54">
        <v>50062.400000000016</v>
      </c>
      <c r="AK15" s="54"/>
      <c r="AL15" s="54"/>
      <c r="AM15" s="54"/>
      <c r="AN15" s="54"/>
      <c r="AO15" s="54"/>
      <c r="AP15" s="54"/>
      <c r="AQ15" s="54"/>
    </row>
    <row r="16" spans="2:47" x14ac:dyDescent="0.35">
      <c r="B16" s="18" t="s">
        <v>7</v>
      </c>
      <c r="C16" s="21" t="b">
        <v>0</v>
      </c>
      <c r="D16" s="21" t="b">
        <v>1</v>
      </c>
      <c r="E16" s="104">
        <f t="shared" si="0"/>
        <v>54166.666666666672</v>
      </c>
      <c r="F16" s="17">
        <v>10833.333333333334</v>
      </c>
      <c r="G16" s="17">
        <v>21666.666666666668</v>
      </c>
      <c r="H16" s="17">
        <v>32500</v>
      </c>
      <c r="I16" s="17">
        <v>43333.333333333336</v>
      </c>
      <c r="J16" s="17">
        <v>54166.666666666672</v>
      </c>
      <c r="K16" s="17"/>
      <c r="L16" s="17"/>
      <c r="M16" s="17"/>
      <c r="N16" s="17"/>
      <c r="O16" s="17"/>
      <c r="P16" s="17"/>
      <c r="Q16" s="17"/>
      <c r="R16" s="104" cm="1">
        <f t="array" ref="R16">LOOKUP(2,1/(ISNUMBER(S16:AD16)),S16:AD16)</f>
        <v>28031.600000000002</v>
      </c>
      <c r="S16" s="17">
        <v>7444.4000000000005</v>
      </c>
      <c r="T16" s="17">
        <v>14417.400000000001</v>
      </c>
      <c r="U16" s="17">
        <v>20792.800000000003</v>
      </c>
      <c r="V16" s="17">
        <v>28031.600000000002</v>
      </c>
      <c r="W16" s="17">
        <v>28031.600000000002</v>
      </c>
      <c r="X16" s="17"/>
      <c r="Y16" s="17"/>
      <c r="Z16" s="17"/>
      <c r="AA16" s="17"/>
      <c r="AB16" s="17"/>
      <c r="AC16" s="17"/>
      <c r="AD16" s="17"/>
      <c r="AE16" s="104" cm="1">
        <f t="array" ref="AE16">LOOKUP(2,1/(ISNUMBER(AF16:AQ16)),AF16:AQ16)</f>
        <v>26135.066666666666</v>
      </c>
      <c r="AF16" s="17">
        <v>3388.9333333333334</v>
      </c>
      <c r="AG16" s="17">
        <v>7249.2666666666673</v>
      </c>
      <c r="AH16" s="17">
        <v>11707.2</v>
      </c>
      <c r="AI16" s="17">
        <v>15301.733333333334</v>
      </c>
      <c r="AJ16" s="17">
        <v>26135.066666666666</v>
      </c>
      <c r="AK16" s="17"/>
      <c r="AL16" s="17"/>
      <c r="AM16" s="17"/>
      <c r="AN16" s="17"/>
      <c r="AO16" s="17"/>
      <c r="AP16" s="17"/>
      <c r="AQ16" s="17"/>
    </row>
    <row r="17" spans="2:43" x14ac:dyDescent="0.35">
      <c r="B17" s="18" t="s">
        <v>54</v>
      </c>
      <c r="C17" s="21" t="b">
        <v>0</v>
      </c>
      <c r="D17" s="21" t="b">
        <v>1</v>
      </c>
      <c r="E17" s="104">
        <f t="shared" si="0"/>
        <v>30000</v>
      </c>
      <c r="F17" s="17">
        <v>6000</v>
      </c>
      <c r="G17" s="17">
        <v>12000</v>
      </c>
      <c r="H17" s="17">
        <v>18000</v>
      </c>
      <c r="I17" s="17">
        <v>24000</v>
      </c>
      <c r="J17" s="17">
        <v>30000</v>
      </c>
      <c r="K17" s="17"/>
      <c r="L17" s="17"/>
      <c r="M17" s="17"/>
      <c r="N17" s="17"/>
      <c r="O17" s="17"/>
      <c r="P17" s="17"/>
      <c r="Q17" s="17"/>
      <c r="R17" s="104" cm="1">
        <f t="array" ref="R17">LOOKUP(2,1/(ISNUMBER(S17:AD17)),S17:AD17)</f>
        <v>0</v>
      </c>
      <c r="S17" s="17">
        <v>0</v>
      </c>
      <c r="T17" s="17">
        <v>0</v>
      </c>
      <c r="U17" s="17">
        <v>0</v>
      </c>
      <c r="V17" s="17">
        <v>0</v>
      </c>
      <c r="W17" s="17">
        <v>0</v>
      </c>
      <c r="X17" s="17"/>
      <c r="Y17" s="17"/>
      <c r="Z17" s="17"/>
      <c r="AA17" s="17"/>
      <c r="AB17" s="17"/>
      <c r="AC17" s="17"/>
      <c r="AD17" s="17"/>
      <c r="AE17" s="104" cm="1">
        <f t="array" ref="AE17">LOOKUP(2,1/(ISNUMBER(AF17:AQ17)),AF17:AQ17)</f>
        <v>30000</v>
      </c>
      <c r="AF17" s="17">
        <v>6000</v>
      </c>
      <c r="AG17" s="17">
        <v>12000</v>
      </c>
      <c r="AH17" s="17">
        <v>18000</v>
      </c>
      <c r="AI17" s="17">
        <v>24000</v>
      </c>
      <c r="AJ17" s="17">
        <v>30000</v>
      </c>
      <c r="AK17" s="17"/>
      <c r="AL17" s="17"/>
      <c r="AM17" s="17"/>
      <c r="AN17" s="17"/>
      <c r="AO17" s="17"/>
      <c r="AP17" s="17"/>
      <c r="AQ17" s="17"/>
    </row>
    <row r="18" spans="2:43" x14ac:dyDescent="0.35">
      <c r="B18" s="18" t="s">
        <v>55</v>
      </c>
      <c r="C18" s="21" t="b">
        <v>0</v>
      </c>
      <c r="D18" s="21" t="b">
        <v>1</v>
      </c>
      <c r="E18" s="104">
        <f t="shared" si="0"/>
        <v>10833.333333333332</v>
      </c>
      <c r="F18" s="17">
        <v>2166.6666666666665</v>
      </c>
      <c r="G18" s="17">
        <v>4333.333333333333</v>
      </c>
      <c r="H18" s="17">
        <v>6500</v>
      </c>
      <c r="I18" s="17">
        <v>8666.6666666666661</v>
      </c>
      <c r="J18" s="17">
        <v>10833.333333333332</v>
      </c>
      <c r="K18" s="17"/>
      <c r="L18" s="17"/>
      <c r="M18" s="17"/>
      <c r="N18" s="17"/>
      <c r="O18" s="17"/>
      <c r="P18" s="17"/>
      <c r="Q18" s="17"/>
      <c r="R18" s="104" cm="1">
        <f t="array" ref="R18">LOOKUP(2,1/(ISNUMBER(S18:AD18)),S18:AD18)</f>
        <v>16906</v>
      </c>
      <c r="S18" s="17">
        <v>0</v>
      </c>
      <c r="T18" s="17">
        <v>0</v>
      </c>
      <c r="U18" s="17">
        <v>16906</v>
      </c>
      <c r="V18" s="17">
        <v>16906</v>
      </c>
      <c r="W18" s="17">
        <v>16906</v>
      </c>
      <c r="X18" s="17"/>
      <c r="Y18" s="17"/>
      <c r="Z18" s="17"/>
      <c r="AA18" s="17"/>
      <c r="AB18" s="17"/>
      <c r="AC18" s="17"/>
      <c r="AD18" s="17"/>
      <c r="AE18" s="104" cm="1">
        <f t="array" ref="AE18">LOOKUP(2,1/(ISNUMBER(AF18:AQ18)),AF18:AQ18)</f>
        <v>-6072.6666666666679</v>
      </c>
      <c r="AF18" s="17">
        <v>2166.6666666666665</v>
      </c>
      <c r="AG18" s="17">
        <v>4333.333333333333</v>
      </c>
      <c r="AH18" s="17">
        <v>-10406</v>
      </c>
      <c r="AI18" s="17">
        <v>-8239.3333333333339</v>
      </c>
      <c r="AJ18" s="17">
        <v>-6072.6666666666679</v>
      </c>
      <c r="AK18" s="17"/>
      <c r="AL18" s="17"/>
      <c r="AM18" s="17"/>
      <c r="AN18" s="17"/>
      <c r="AO18" s="17"/>
      <c r="AP18" s="17"/>
      <c r="AQ18" s="17"/>
    </row>
    <row r="19" spans="2:43" x14ac:dyDescent="0.35">
      <c r="B19" s="53" t="s">
        <v>56</v>
      </c>
      <c r="C19" s="72" t="b">
        <v>0</v>
      </c>
      <c r="D19" s="72" t="b">
        <v>1</v>
      </c>
      <c r="E19" s="103">
        <f>MAX(F19:Q19)</f>
        <v>270833.33333333337</v>
      </c>
      <c r="F19" s="54">
        <v>54166.666666666672</v>
      </c>
      <c r="G19" s="54">
        <v>108333.33333333334</v>
      </c>
      <c r="H19" s="54">
        <v>162500</v>
      </c>
      <c r="I19" s="54">
        <v>216666.66666666669</v>
      </c>
      <c r="J19" s="54">
        <v>270833.33333333337</v>
      </c>
      <c r="K19" s="54"/>
      <c r="L19" s="54"/>
      <c r="M19" s="54"/>
      <c r="N19" s="54"/>
      <c r="O19" s="54"/>
      <c r="P19" s="54"/>
      <c r="Q19" s="54"/>
      <c r="R19" s="103" cm="1">
        <f t="array" ref="R19">LOOKUP(2,1/(ISNUMBER(S19:AD19)),S19:AD19)</f>
        <v>305516</v>
      </c>
      <c r="S19" s="54">
        <v>49950</v>
      </c>
      <c r="T19" s="54">
        <v>97332</v>
      </c>
      <c r="U19" s="54">
        <v>109097</v>
      </c>
      <c r="V19" s="54">
        <v>222521</v>
      </c>
      <c r="W19" s="54">
        <v>305516</v>
      </c>
      <c r="X19" s="54"/>
      <c r="Y19" s="54"/>
      <c r="Z19" s="54"/>
      <c r="AA19" s="54"/>
      <c r="AB19" s="54"/>
      <c r="AC19" s="54"/>
      <c r="AD19" s="54"/>
      <c r="AE19" s="103" cm="1">
        <f t="array" ref="AE19">LOOKUP(2,1/(ISNUMBER(AF19:AQ19)),AF19:AQ19)</f>
        <v>-34682.666666666642</v>
      </c>
      <c r="AF19" s="54">
        <v>4216.6666666666715</v>
      </c>
      <c r="AG19" s="54">
        <v>11001.333333333343</v>
      </c>
      <c r="AH19" s="54">
        <v>53403.000000000015</v>
      </c>
      <c r="AI19" s="54">
        <v>-5854.3333333333139</v>
      </c>
      <c r="AJ19" s="54">
        <v>-34682.666666666642</v>
      </c>
      <c r="AK19" s="54"/>
      <c r="AL19" s="54"/>
      <c r="AM19" s="54"/>
      <c r="AN19" s="54"/>
      <c r="AO19" s="54"/>
      <c r="AP19" s="54"/>
      <c r="AQ19" s="54"/>
    </row>
    <row r="20" spans="2:43" x14ac:dyDescent="0.35">
      <c r="B20" s="18" t="s">
        <v>38</v>
      </c>
      <c r="C20" s="21" t="b">
        <v>0</v>
      </c>
      <c r="D20" s="21" t="b">
        <v>1</v>
      </c>
      <c r="E20" s="104">
        <f t="shared" si="0"/>
        <v>83333.333333333343</v>
      </c>
      <c r="F20" s="17">
        <v>16666.666666666668</v>
      </c>
      <c r="G20" s="17">
        <v>33333.333333333336</v>
      </c>
      <c r="H20" s="17">
        <v>50000</v>
      </c>
      <c r="I20" s="17">
        <v>66666.666666666672</v>
      </c>
      <c r="J20" s="17">
        <v>83333.333333333343</v>
      </c>
      <c r="K20" s="17"/>
      <c r="L20" s="17"/>
      <c r="M20" s="17"/>
      <c r="N20" s="17"/>
      <c r="O20" s="17"/>
      <c r="P20" s="17"/>
      <c r="Q20" s="17"/>
      <c r="R20" s="104" cm="1">
        <f t="array" ref="R20">LOOKUP(2,1/(ISNUMBER(S20:AD20)),S20:AD20)</f>
        <v>123177</v>
      </c>
      <c r="S20" s="17">
        <v>0</v>
      </c>
      <c r="T20" s="17">
        <v>0</v>
      </c>
      <c r="U20" s="17">
        <v>1023</v>
      </c>
      <c r="V20" s="17">
        <v>104232</v>
      </c>
      <c r="W20" s="17">
        <v>123177</v>
      </c>
      <c r="X20" s="17"/>
      <c r="Y20" s="17"/>
      <c r="Z20" s="17"/>
      <c r="AA20" s="17"/>
      <c r="AB20" s="17"/>
      <c r="AC20" s="17"/>
      <c r="AD20" s="17"/>
      <c r="AE20" s="104" cm="1">
        <f t="array" ref="AE20">LOOKUP(2,1/(ISNUMBER(AF20:AQ20)),AF20:AQ20)</f>
        <v>-39843.666666666657</v>
      </c>
      <c r="AF20" s="17">
        <v>16666.666666666668</v>
      </c>
      <c r="AG20" s="17">
        <v>33333.333333333336</v>
      </c>
      <c r="AH20" s="17">
        <v>48977</v>
      </c>
      <c r="AI20" s="17">
        <v>-37565.333333333328</v>
      </c>
      <c r="AJ20" s="17">
        <v>-39843.666666666657</v>
      </c>
      <c r="AK20" s="17"/>
      <c r="AL20" s="17"/>
      <c r="AM20" s="17"/>
      <c r="AN20" s="17"/>
      <c r="AO20" s="17"/>
      <c r="AP20" s="17"/>
      <c r="AQ20" s="17"/>
    </row>
    <row r="21" spans="2:43" x14ac:dyDescent="0.35">
      <c r="B21" s="18" t="s">
        <v>18</v>
      </c>
      <c r="C21" s="21" t="b">
        <v>0</v>
      </c>
      <c r="D21" s="21" t="b">
        <v>1</v>
      </c>
      <c r="E21" s="104">
        <f t="shared" si="0"/>
        <v>145833.33333333334</v>
      </c>
      <c r="F21" s="17">
        <v>29166.666666666668</v>
      </c>
      <c r="G21" s="17">
        <v>58333.333333333336</v>
      </c>
      <c r="H21" s="17">
        <v>87500</v>
      </c>
      <c r="I21" s="17">
        <v>116666.66666666667</v>
      </c>
      <c r="J21" s="17">
        <v>145833.33333333334</v>
      </c>
      <c r="K21" s="17"/>
      <c r="L21" s="17"/>
      <c r="M21" s="17"/>
      <c r="N21" s="17"/>
      <c r="O21" s="17"/>
      <c r="P21" s="17"/>
      <c r="Q21" s="17"/>
      <c r="R21" s="104" cm="1">
        <f t="array" ref="R21">LOOKUP(2,1/(ISNUMBER(S21:AD21)),S21:AD21)</f>
        <v>116295</v>
      </c>
      <c r="S21" s="17">
        <v>29400</v>
      </c>
      <c r="T21" s="17">
        <v>31288</v>
      </c>
      <c r="U21" s="17">
        <v>42030</v>
      </c>
      <c r="V21" s="17">
        <v>52245</v>
      </c>
      <c r="W21" s="17">
        <v>116295</v>
      </c>
      <c r="X21" s="17"/>
      <c r="Y21" s="17"/>
      <c r="Z21" s="17"/>
      <c r="AA21" s="17"/>
      <c r="AB21" s="17"/>
      <c r="AC21" s="17"/>
      <c r="AD21" s="17"/>
      <c r="AE21" s="104" cm="1">
        <f t="array" ref="AE21">LOOKUP(2,1/(ISNUMBER(AF21:AQ21)),AF21:AQ21)</f>
        <v>29538.333333333343</v>
      </c>
      <c r="AF21" s="17">
        <v>-233.33333333333212</v>
      </c>
      <c r="AG21" s="17">
        <v>27045.333333333336</v>
      </c>
      <c r="AH21" s="17">
        <v>45470</v>
      </c>
      <c r="AI21" s="17">
        <v>64421.666666666672</v>
      </c>
      <c r="AJ21" s="17">
        <v>29538.333333333343</v>
      </c>
      <c r="AK21" s="17"/>
      <c r="AL21" s="17"/>
      <c r="AM21" s="17"/>
      <c r="AN21" s="17"/>
      <c r="AO21" s="17"/>
      <c r="AP21" s="17"/>
      <c r="AQ21" s="17"/>
    </row>
    <row r="22" spans="2:43" x14ac:dyDescent="0.35">
      <c r="B22" s="18" t="s">
        <v>17</v>
      </c>
      <c r="C22" s="21" t="b">
        <v>0</v>
      </c>
      <c r="D22" s="21" t="b">
        <v>1</v>
      </c>
      <c r="E22" s="104">
        <f t="shared" si="0"/>
        <v>41666.666666666672</v>
      </c>
      <c r="F22" s="17">
        <v>8333.3333333333339</v>
      </c>
      <c r="G22" s="17">
        <v>16666.666666666668</v>
      </c>
      <c r="H22" s="17">
        <v>25000</v>
      </c>
      <c r="I22" s="17">
        <v>33333.333333333336</v>
      </c>
      <c r="J22" s="17">
        <v>41666.666666666672</v>
      </c>
      <c r="K22" s="17"/>
      <c r="L22" s="17"/>
      <c r="M22" s="17"/>
      <c r="N22" s="17"/>
      <c r="O22" s="17"/>
      <c r="P22" s="17"/>
      <c r="Q22" s="17"/>
      <c r="R22" s="104" cm="1">
        <f t="array" ref="R22">LOOKUP(2,1/(ISNUMBER(S22:AD22)),S22:AD22)</f>
        <v>66044</v>
      </c>
      <c r="S22" s="17">
        <v>20550</v>
      </c>
      <c r="T22" s="17">
        <v>66044</v>
      </c>
      <c r="U22" s="17">
        <v>66044</v>
      </c>
      <c r="V22" s="17">
        <v>66044</v>
      </c>
      <c r="W22" s="17">
        <v>66044</v>
      </c>
      <c r="X22" s="17"/>
      <c r="Y22" s="17"/>
      <c r="Z22" s="17"/>
      <c r="AA22" s="17"/>
      <c r="AB22" s="17"/>
      <c r="AC22" s="17"/>
      <c r="AD22" s="17"/>
      <c r="AE22" s="104" cm="1">
        <f t="array" ref="AE22">LOOKUP(2,1/(ISNUMBER(AF22:AQ22)),AF22:AQ22)</f>
        <v>-24377.333333333321</v>
      </c>
      <c r="AF22" s="17">
        <v>-12216.666666666666</v>
      </c>
      <c r="AG22" s="17">
        <v>-49377.333333333328</v>
      </c>
      <c r="AH22" s="17">
        <v>-41043.999999999993</v>
      </c>
      <c r="AI22" s="17">
        <v>-32710.666666666657</v>
      </c>
      <c r="AJ22" s="17">
        <v>-24377.333333333321</v>
      </c>
      <c r="AK22" s="17"/>
      <c r="AL22" s="17"/>
      <c r="AM22" s="17"/>
      <c r="AN22" s="17"/>
      <c r="AO22" s="17"/>
      <c r="AP22" s="17"/>
      <c r="AQ22" s="17"/>
    </row>
    <row r="23" spans="2:43" x14ac:dyDescent="0.35">
      <c r="B23" s="53" t="s">
        <v>6</v>
      </c>
      <c r="C23" s="72" t="b">
        <v>0</v>
      </c>
      <c r="D23" s="72" t="b">
        <v>1</v>
      </c>
      <c r="E23" s="103">
        <f>MAX(F23:Q23)</f>
        <v>708333.33333333326</v>
      </c>
      <c r="F23" s="54">
        <v>141666.66666666666</v>
      </c>
      <c r="G23" s="54">
        <v>283333.33333333331</v>
      </c>
      <c r="H23" s="54">
        <v>425000</v>
      </c>
      <c r="I23" s="54">
        <v>566666.66666666663</v>
      </c>
      <c r="J23" s="54">
        <v>708333.33333333326</v>
      </c>
      <c r="K23" s="54"/>
      <c r="L23" s="54"/>
      <c r="M23" s="54"/>
      <c r="N23" s="54"/>
      <c r="O23" s="54"/>
      <c r="P23" s="54"/>
      <c r="Q23" s="54"/>
      <c r="R23" s="103" cm="1">
        <f t="array" ref="R23">LOOKUP(2,1/(ISNUMBER(S23:AD23)),S23:AD23)</f>
        <v>521279</v>
      </c>
      <c r="S23" s="54">
        <v>144102</v>
      </c>
      <c r="T23" s="54">
        <v>257278</v>
      </c>
      <c r="U23" s="54">
        <v>338912</v>
      </c>
      <c r="V23" s="54">
        <v>458395</v>
      </c>
      <c r="W23" s="54">
        <v>521279</v>
      </c>
      <c r="X23" s="54"/>
      <c r="Y23" s="54"/>
      <c r="Z23" s="54"/>
      <c r="AA23" s="54"/>
      <c r="AB23" s="54"/>
      <c r="AC23" s="54"/>
      <c r="AD23" s="54"/>
      <c r="AE23" s="103" cm="1">
        <f t="array" ref="AE23">LOOKUP(2,1/(ISNUMBER(AF23:AQ23)),AF23:AQ23)</f>
        <v>187054.33333333328</v>
      </c>
      <c r="AF23" s="54">
        <v>-2435.333333333343</v>
      </c>
      <c r="AG23" s="54">
        <v>26055.333333333314</v>
      </c>
      <c r="AH23" s="54">
        <v>86087.999999999971</v>
      </c>
      <c r="AI23" s="54">
        <v>108271.66666666663</v>
      </c>
      <c r="AJ23" s="54">
        <v>187054.33333333328</v>
      </c>
      <c r="AK23" s="54"/>
      <c r="AL23" s="54"/>
      <c r="AM23" s="54"/>
      <c r="AN23" s="54"/>
      <c r="AO23" s="54"/>
      <c r="AP23" s="54"/>
      <c r="AQ23" s="54"/>
    </row>
    <row r="24" spans="2:43" x14ac:dyDescent="0.35">
      <c r="B24" s="53" t="s">
        <v>57</v>
      </c>
      <c r="C24" s="72" t="b">
        <v>0</v>
      </c>
      <c r="D24" s="72" t="b">
        <v>1</v>
      </c>
      <c r="E24" s="103">
        <f>MAX(F24:Q24)</f>
        <v>133333.33333333334</v>
      </c>
      <c r="F24" s="54">
        <v>26666.666666666668</v>
      </c>
      <c r="G24" s="54">
        <v>53333.333333333336</v>
      </c>
      <c r="H24" s="54">
        <v>80000</v>
      </c>
      <c r="I24" s="54">
        <v>106666.66666666667</v>
      </c>
      <c r="J24" s="54">
        <v>133333.33333333334</v>
      </c>
      <c r="K24" s="54"/>
      <c r="L24" s="54"/>
      <c r="M24" s="54"/>
      <c r="N24" s="54"/>
      <c r="O24" s="54"/>
      <c r="P24" s="54"/>
      <c r="Q24" s="54"/>
      <c r="R24" s="103" cm="1">
        <f t="array" ref="R24">LOOKUP(2,1/(ISNUMBER(S24:AD24)),S24:AD24)</f>
        <v>99450</v>
      </c>
      <c r="S24" s="54">
        <v>4088</v>
      </c>
      <c r="T24" s="54">
        <v>14570</v>
      </c>
      <c r="U24" s="54">
        <v>67283</v>
      </c>
      <c r="V24" s="54">
        <v>95949</v>
      </c>
      <c r="W24" s="54">
        <v>99450</v>
      </c>
      <c r="X24" s="54"/>
      <c r="Y24" s="54"/>
      <c r="Z24" s="54"/>
      <c r="AA24" s="54"/>
      <c r="AB24" s="54"/>
      <c r="AC24" s="54"/>
      <c r="AD24" s="54"/>
      <c r="AE24" s="103" cm="1">
        <f t="array" ref="AE24">LOOKUP(2,1/(ISNUMBER(AF24:AQ24)),AF24:AQ24)</f>
        <v>33883.333333333343</v>
      </c>
      <c r="AF24" s="54">
        <v>22578.666666666668</v>
      </c>
      <c r="AG24" s="54">
        <v>38763.333333333336</v>
      </c>
      <c r="AH24" s="54">
        <v>12717.000000000004</v>
      </c>
      <c r="AI24" s="54">
        <v>10717.666666666672</v>
      </c>
      <c r="AJ24" s="54">
        <v>33883.333333333343</v>
      </c>
      <c r="AK24" s="54"/>
      <c r="AL24" s="54"/>
      <c r="AM24" s="54"/>
      <c r="AN24" s="54"/>
      <c r="AO24" s="54"/>
      <c r="AP24" s="54"/>
      <c r="AQ24" s="54"/>
    </row>
    <row r="25" spans="2:43" x14ac:dyDescent="0.35">
      <c r="B25" s="18" t="s">
        <v>39</v>
      </c>
      <c r="C25" s="21" t="b">
        <v>1</v>
      </c>
      <c r="D25" s="21" t="b">
        <v>1</v>
      </c>
      <c r="E25" s="104">
        <f t="shared" ref="E25:E42" si="1">MAX(F25:Q25)</f>
        <v>50000</v>
      </c>
      <c r="F25" s="17">
        <v>10000</v>
      </c>
      <c r="G25" s="17">
        <v>20000</v>
      </c>
      <c r="H25" s="17">
        <v>30000</v>
      </c>
      <c r="I25" s="17">
        <v>40000</v>
      </c>
      <c r="J25" s="17">
        <v>50000</v>
      </c>
      <c r="K25" s="17"/>
      <c r="L25" s="17"/>
      <c r="M25" s="17"/>
      <c r="N25" s="17"/>
      <c r="O25" s="17"/>
      <c r="P25" s="17"/>
      <c r="Q25" s="17"/>
      <c r="R25" s="104" cm="1">
        <f t="array" ref="R25">LOOKUP(2,1/(ISNUMBER(S25:AD25)),S25:AD25)</f>
        <v>48036</v>
      </c>
      <c r="S25" s="17">
        <v>738</v>
      </c>
      <c r="T25" s="17">
        <v>1014</v>
      </c>
      <c r="U25" s="17">
        <v>21093</v>
      </c>
      <c r="V25" s="17">
        <v>45852</v>
      </c>
      <c r="W25" s="17">
        <v>48036</v>
      </c>
      <c r="X25" s="17"/>
      <c r="Y25" s="17"/>
      <c r="Z25" s="17"/>
      <c r="AA25" s="17"/>
      <c r="AB25" s="17"/>
      <c r="AC25" s="17"/>
      <c r="AD25" s="17"/>
      <c r="AE25" s="104" cm="1">
        <f t="array" ref="AE25">LOOKUP(2,1/(ISNUMBER(AF25:AQ25)),AF25:AQ25)</f>
        <v>1964</v>
      </c>
      <c r="AF25" s="17">
        <v>9262</v>
      </c>
      <c r="AG25" s="17">
        <v>18986</v>
      </c>
      <c r="AH25" s="17">
        <v>8907</v>
      </c>
      <c r="AI25" s="17">
        <v>-5852</v>
      </c>
      <c r="AJ25" s="17">
        <v>1964</v>
      </c>
      <c r="AK25" s="17"/>
      <c r="AL25" s="17"/>
      <c r="AM25" s="17"/>
      <c r="AN25" s="17"/>
      <c r="AO25" s="17"/>
      <c r="AP25" s="17"/>
      <c r="AQ25" s="17"/>
    </row>
    <row r="26" spans="2:43" x14ac:dyDescent="0.35">
      <c r="B26" s="18" t="s">
        <v>10</v>
      </c>
      <c r="C26" s="21" t="b">
        <v>0</v>
      </c>
      <c r="D26" s="21" t="b">
        <v>1</v>
      </c>
      <c r="E26" s="104">
        <f t="shared" si="1"/>
        <v>83333.333333333343</v>
      </c>
      <c r="F26" s="17">
        <v>16666.666666666668</v>
      </c>
      <c r="G26" s="17">
        <v>33333.333333333336</v>
      </c>
      <c r="H26" s="17">
        <v>50000</v>
      </c>
      <c r="I26" s="17">
        <v>66666.666666666672</v>
      </c>
      <c r="J26" s="17">
        <v>83333.333333333343</v>
      </c>
      <c r="K26" s="17"/>
      <c r="L26" s="17"/>
      <c r="M26" s="17"/>
      <c r="N26" s="17"/>
      <c r="O26" s="17"/>
      <c r="P26" s="17"/>
      <c r="Q26" s="17"/>
      <c r="R26" s="104" cm="1">
        <f t="array" ref="R26">LOOKUP(2,1/(ISNUMBER(S26:AD26)),S26:AD26)</f>
        <v>51414</v>
      </c>
      <c r="S26" s="17">
        <v>3350</v>
      </c>
      <c r="T26" s="17">
        <v>13556</v>
      </c>
      <c r="U26" s="17">
        <v>46190</v>
      </c>
      <c r="V26" s="17">
        <v>50097</v>
      </c>
      <c r="W26" s="17">
        <v>51414</v>
      </c>
      <c r="X26" s="17"/>
      <c r="Y26" s="17"/>
      <c r="Z26" s="17"/>
      <c r="AA26" s="17"/>
      <c r="AB26" s="17"/>
      <c r="AC26" s="17"/>
      <c r="AD26" s="17"/>
      <c r="AE26" s="104" cm="1">
        <f t="array" ref="AE26">LOOKUP(2,1/(ISNUMBER(AF26:AQ26)),AF26:AQ26)</f>
        <v>31919.333333333339</v>
      </c>
      <c r="AF26" s="17">
        <v>13316.666666666668</v>
      </c>
      <c r="AG26" s="17">
        <v>19777.333333333336</v>
      </c>
      <c r="AH26" s="17">
        <v>3810.0000000000036</v>
      </c>
      <c r="AI26" s="17">
        <v>16569.666666666672</v>
      </c>
      <c r="AJ26" s="17">
        <v>31919.333333333339</v>
      </c>
      <c r="AK26" s="17"/>
      <c r="AL26" s="17"/>
      <c r="AM26" s="17"/>
      <c r="AN26" s="17"/>
      <c r="AO26" s="17"/>
      <c r="AP26" s="17"/>
      <c r="AQ26" s="17"/>
    </row>
    <row r="27" spans="2:43" x14ac:dyDescent="0.35">
      <c r="B27" s="53" t="s">
        <v>58</v>
      </c>
      <c r="C27" s="72" t="b">
        <v>0</v>
      </c>
      <c r="D27" s="72" t="b">
        <v>1</v>
      </c>
      <c r="E27" s="103">
        <f>MAX(F27:Q27)</f>
        <v>2500000</v>
      </c>
      <c r="F27" s="54">
        <v>500000</v>
      </c>
      <c r="G27" s="54">
        <v>1000000</v>
      </c>
      <c r="H27" s="54">
        <v>1500000</v>
      </c>
      <c r="I27" s="54">
        <v>2000000</v>
      </c>
      <c r="J27" s="54">
        <v>2500000</v>
      </c>
      <c r="K27" s="54"/>
      <c r="L27" s="54"/>
      <c r="M27" s="54"/>
      <c r="N27" s="54"/>
      <c r="O27" s="54"/>
      <c r="P27" s="54"/>
      <c r="Q27" s="54"/>
      <c r="R27" s="103" cm="1">
        <f t="array" ref="R27">LOOKUP(2,1/(ISNUMBER(S27:AD27)),S27:AD27)</f>
        <v>1683315</v>
      </c>
      <c r="S27" s="54">
        <v>207662</v>
      </c>
      <c r="T27" s="54">
        <v>660041</v>
      </c>
      <c r="U27" s="54">
        <v>988563</v>
      </c>
      <c r="V27" s="54">
        <v>1436176</v>
      </c>
      <c r="W27" s="54">
        <v>1683315</v>
      </c>
      <c r="X27" s="54"/>
      <c r="Y27" s="54"/>
      <c r="Z27" s="54"/>
      <c r="AA27" s="54"/>
      <c r="AB27" s="54"/>
      <c r="AC27" s="54"/>
      <c r="AD27" s="54"/>
      <c r="AE27" s="103" cm="1">
        <f t="array" ref="AE27">LOOKUP(2,1/(ISNUMBER(AF27:AQ27)),AF27:AQ27)</f>
        <v>816685</v>
      </c>
      <c r="AF27" s="54">
        <v>292338</v>
      </c>
      <c r="AG27" s="54">
        <v>339959</v>
      </c>
      <c r="AH27" s="54">
        <v>511437</v>
      </c>
      <c r="AI27" s="54">
        <v>563824</v>
      </c>
      <c r="AJ27" s="54">
        <v>816685</v>
      </c>
      <c r="AK27" s="54"/>
      <c r="AL27" s="54"/>
      <c r="AM27" s="54"/>
      <c r="AN27" s="54"/>
      <c r="AO27" s="54"/>
      <c r="AP27" s="54"/>
      <c r="AQ27" s="54"/>
    </row>
    <row r="28" spans="2:43" x14ac:dyDescent="0.35">
      <c r="B28" s="18" t="s">
        <v>13</v>
      </c>
      <c r="C28" s="21" t="b">
        <v>0</v>
      </c>
      <c r="D28" s="21" t="b">
        <v>1</v>
      </c>
      <c r="E28" s="104">
        <f t="shared" si="1"/>
        <v>8333.3333333333339</v>
      </c>
      <c r="F28" s="17">
        <v>1666.6666666666667</v>
      </c>
      <c r="G28" s="17">
        <v>3333.3333333333335</v>
      </c>
      <c r="H28" s="17">
        <v>5000</v>
      </c>
      <c r="I28" s="17">
        <v>6666.666666666667</v>
      </c>
      <c r="J28" s="17">
        <v>8333.3333333333339</v>
      </c>
      <c r="K28" s="17"/>
      <c r="L28" s="17"/>
      <c r="M28" s="17"/>
      <c r="N28" s="17"/>
      <c r="O28" s="17"/>
      <c r="P28" s="17"/>
      <c r="Q28" s="17"/>
      <c r="R28" s="104" cm="1">
        <f t="array" ref="R28">LOOKUP(2,1/(ISNUMBER(S28:AD28)),S28:AD28)</f>
        <v>4346</v>
      </c>
      <c r="S28" s="17">
        <v>0</v>
      </c>
      <c r="T28" s="17">
        <v>226</v>
      </c>
      <c r="U28" s="17">
        <v>3697</v>
      </c>
      <c r="V28" s="17">
        <v>4260</v>
      </c>
      <c r="W28" s="17">
        <v>4346</v>
      </c>
      <c r="X28" s="17"/>
      <c r="Y28" s="17"/>
      <c r="Z28" s="17"/>
      <c r="AA28" s="17"/>
      <c r="AB28" s="17"/>
      <c r="AC28" s="17"/>
      <c r="AD28" s="17"/>
      <c r="AE28" s="104" cm="1">
        <f t="array" ref="AE28">LOOKUP(2,1/(ISNUMBER(AF28:AQ28)),AF28:AQ28)</f>
        <v>3987.3333333333339</v>
      </c>
      <c r="AF28" s="17">
        <v>1666.6666666666667</v>
      </c>
      <c r="AG28" s="17">
        <v>3107.3333333333335</v>
      </c>
      <c r="AH28" s="17">
        <v>1303.0000000000002</v>
      </c>
      <c r="AI28" s="17">
        <v>2406.666666666667</v>
      </c>
      <c r="AJ28" s="17">
        <v>3987.3333333333339</v>
      </c>
      <c r="AK28" s="17"/>
      <c r="AL28" s="17"/>
      <c r="AM28" s="17"/>
      <c r="AN28" s="17"/>
      <c r="AO28" s="17"/>
      <c r="AP28" s="17"/>
      <c r="AQ28" s="17"/>
    </row>
    <row r="29" spans="2:43" x14ac:dyDescent="0.35">
      <c r="B29" s="18" t="s">
        <v>15</v>
      </c>
      <c r="C29" s="21" t="b">
        <v>0</v>
      </c>
      <c r="D29" s="21" t="b">
        <v>1</v>
      </c>
      <c r="E29" s="104">
        <f t="shared" si="1"/>
        <v>166666.66666666669</v>
      </c>
      <c r="F29" s="17">
        <v>33333.333333333336</v>
      </c>
      <c r="G29" s="17">
        <v>66666.666666666672</v>
      </c>
      <c r="H29" s="17">
        <v>100000</v>
      </c>
      <c r="I29" s="17">
        <v>133333.33333333334</v>
      </c>
      <c r="J29" s="17">
        <v>166666.66666666669</v>
      </c>
      <c r="K29" s="17"/>
      <c r="L29" s="17"/>
      <c r="M29" s="17"/>
      <c r="N29" s="17"/>
      <c r="O29" s="17"/>
      <c r="P29" s="17"/>
      <c r="Q29" s="17"/>
      <c r="R29" s="104" cm="1">
        <f t="array" ref="R29">LOOKUP(2,1/(ISNUMBER(S29:AD29)),S29:AD29)</f>
        <v>136417</v>
      </c>
      <c r="S29" s="17">
        <v>0</v>
      </c>
      <c r="T29" s="17">
        <v>65044</v>
      </c>
      <c r="U29" s="17">
        <v>97526</v>
      </c>
      <c r="V29" s="17">
        <v>103728</v>
      </c>
      <c r="W29" s="17">
        <v>136417</v>
      </c>
      <c r="X29" s="17"/>
      <c r="Y29" s="17"/>
      <c r="Z29" s="17"/>
      <c r="AA29" s="17"/>
      <c r="AB29" s="17"/>
      <c r="AC29" s="17"/>
      <c r="AD29" s="17"/>
      <c r="AE29" s="104" cm="1">
        <f t="array" ref="AE29">LOOKUP(2,1/(ISNUMBER(AF29:AQ29)),AF29:AQ29)</f>
        <v>30249.666666666679</v>
      </c>
      <c r="AF29" s="17">
        <v>33333.333333333336</v>
      </c>
      <c r="AG29" s="17">
        <v>1622.6666666666715</v>
      </c>
      <c r="AH29" s="17">
        <v>2474.0000000000073</v>
      </c>
      <c r="AI29" s="17">
        <v>29605.333333333343</v>
      </c>
      <c r="AJ29" s="17">
        <v>30249.666666666679</v>
      </c>
      <c r="AK29" s="17"/>
      <c r="AL29" s="17"/>
      <c r="AM29" s="17"/>
      <c r="AN29" s="17"/>
      <c r="AO29" s="17"/>
      <c r="AP29" s="17"/>
      <c r="AQ29" s="17"/>
    </row>
    <row r="30" spans="2:43" x14ac:dyDescent="0.35">
      <c r="B30" s="18" t="s">
        <v>14</v>
      </c>
      <c r="C30" s="21" t="b">
        <v>0</v>
      </c>
      <c r="D30" s="21" t="b">
        <v>1</v>
      </c>
      <c r="E30" s="104">
        <f t="shared" si="1"/>
        <v>916666.66666666674</v>
      </c>
      <c r="F30" s="17">
        <v>183333.33333333334</v>
      </c>
      <c r="G30" s="17">
        <v>366666.66666666669</v>
      </c>
      <c r="H30" s="17">
        <v>550000</v>
      </c>
      <c r="I30" s="17">
        <v>733333.33333333337</v>
      </c>
      <c r="J30" s="17">
        <v>916666.66666666674</v>
      </c>
      <c r="K30" s="17"/>
      <c r="L30" s="17"/>
      <c r="M30" s="17"/>
      <c r="N30" s="17"/>
      <c r="O30" s="17"/>
      <c r="P30" s="17"/>
      <c r="Q30" s="17"/>
      <c r="R30" s="104" cm="1">
        <f t="array" ref="R30">LOOKUP(2,1/(ISNUMBER(S30:AD30)),S30:AD30)</f>
        <v>572207</v>
      </c>
      <c r="S30" s="17">
        <v>103472</v>
      </c>
      <c r="T30" s="17">
        <v>213128</v>
      </c>
      <c r="U30" s="17">
        <v>356669</v>
      </c>
      <c r="V30" s="17">
        <v>479848</v>
      </c>
      <c r="W30" s="17">
        <v>572207</v>
      </c>
      <c r="X30" s="17"/>
      <c r="Y30" s="17"/>
      <c r="Z30" s="17"/>
      <c r="AA30" s="17"/>
      <c r="AB30" s="17"/>
      <c r="AC30" s="17"/>
      <c r="AD30" s="17"/>
      <c r="AE30" s="104" cm="1">
        <f t="array" ref="AE30">LOOKUP(2,1/(ISNUMBER(AF30:AQ30)),AF30:AQ30)</f>
        <v>344459.66666666674</v>
      </c>
      <c r="AF30" s="17">
        <v>79861.333333333343</v>
      </c>
      <c r="AG30" s="17">
        <v>153538.66666666669</v>
      </c>
      <c r="AH30" s="17">
        <v>193331.00000000003</v>
      </c>
      <c r="AI30" s="17">
        <v>253485.33333333337</v>
      </c>
      <c r="AJ30" s="17">
        <v>344459.66666666674</v>
      </c>
      <c r="AK30" s="17"/>
      <c r="AL30" s="17"/>
      <c r="AM30" s="17"/>
      <c r="AN30" s="17"/>
      <c r="AO30" s="17"/>
      <c r="AP30" s="17"/>
      <c r="AQ30" s="17"/>
    </row>
    <row r="31" spans="2:43" x14ac:dyDescent="0.35">
      <c r="B31" s="18" t="s">
        <v>59</v>
      </c>
      <c r="C31" s="21" t="b">
        <v>0</v>
      </c>
      <c r="D31" s="21" t="b">
        <v>1</v>
      </c>
      <c r="E31" s="104">
        <f t="shared" si="1"/>
        <v>33333.333333333336</v>
      </c>
      <c r="F31" s="17">
        <v>6666.666666666667</v>
      </c>
      <c r="G31" s="17">
        <v>13333.333333333334</v>
      </c>
      <c r="H31" s="17">
        <v>20000</v>
      </c>
      <c r="I31" s="17">
        <v>26666.666666666668</v>
      </c>
      <c r="J31" s="17">
        <v>33333.333333333336</v>
      </c>
      <c r="K31" s="17"/>
      <c r="L31" s="17"/>
      <c r="M31" s="17"/>
      <c r="N31" s="17"/>
      <c r="O31" s="17"/>
      <c r="P31" s="17"/>
      <c r="Q31" s="17"/>
      <c r="R31" s="104" cm="1">
        <f t="array" ref="R31">LOOKUP(2,1/(ISNUMBER(S31:AD31)),S31:AD31)</f>
        <v>47582</v>
      </c>
      <c r="S31" s="17">
        <v>5800</v>
      </c>
      <c r="T31" s="17">
        <v>11600</v>
      </c>
      <c r="U31" s="17">
        <v>22270</v>
      </c>
      <c r="V31" s="17">
        <v>24820</v>
      </c>
      <c r="W31" s="17">
        <v>47582</v>
      </c>
      <c r="X31" s="17"/>
      <c r="Y31" s="17"/>
      <c r="Z31" s="17"/>
      <c r="AA31" s="17"/>
      <c r="AB31" s="17"/>
      <c r="AC31" s="17"/>
      <c r="AD31" s="17"/>
      <c r="AE31" s="104" cm="1">
        <f t="array" ref="AE31">LOOKUP(2,1/(ISNUMBER(AF31:AQ31)),AF31:AQ31)</f>
        <v>-14248.666666666664</v>
      </c>
      <c r="AF31" s="17">
        <v>866.66666666666697</v>
      </c>
      <c r="AG31" s="17">
        <v>1733.3333333333339</v>
      </c>
      <c r="AH31" s="17">
        <v>-2269.9999999999991</v>
      </c>
      <c r="AI31" s="17">
        <v>1846.6666666666679</v>
      </c>
      <c r="AJ31" s="17">
        <v>-14248.666666666664</v>
      </c>
      <c r="AK31" s="17"/>
      <c r="AL31" s="17"/>
      <c r="AM31" s="17"/>
      <c r="AN31" s="17"/>
      <c r="AO31" s="17"/>
      <c r="AP31" s="17"/>
      <c r="AQ31" s="17"/>
    </row>
    <row r="32" spans="2:43" x14ac:dyDescent="0.35">
      <c r="B32" s="18" t="s">
        <v>27</v>
      </c>
      <c r="C32" s="21" t="b">
        <v>0</v>
      </c>
      <c r="D32" s="21" t="b">
        <v>1</v>
      </c>
      <c r="E32" s="104">
        <f t="shared" si="1"/>
        <v>229166.66666666669</v>
      </c>
      <c r="F32" s="17">
        <v>45833.333333333336</v>
      </c>
      <c r="G32" s="17">
        <v>91666.666666666672</v>
      </c>
      <c r="H32" s="17">
        <v>137500</v>
      </c>
      <c r="I32" s="17">
        <v>183333.33333333334</v>
      </c>
      <c r="J32" s="17">
        <v>229166.66666666669</v>
      </c>
      <c r="K32" s="17"/>
      <c r="L32" s="17"/>
      <c r="M32" s="17"/>
      <c r="N32" s="17"/>
      <c r="O32" s="17"/>
      <c r="P32" s="17"/>
      <c r="Q32" s="17"/>
      <c r="R32" s="104" cm="1">
        <f t="array" ref="R32">LOOKUP(2,1/(ISNUMBER(S32:AD32)),S32:AD32)</f>
        <v>211477</v>
      </c>
      <c r="S32" s="17">
        <v>43390</v>
      </c>
      <c r="T32" s="17">
        <v>72980</v>
      </c>
      <c r="U32" s="17">
        <v>100980</v>
      </c>
      <c r="V32" s="17">
        <v>183477</v>
      </c>
      <c r="W32" s="17">
        <v>211477</v>
      </c>
      <c r="X32" s="17"/>
      <c r="Y32" s="17"/>
      <c r="Z32" s="17"/>
      <c r="AA32" s="17"/>
      <c r="AB32" s="17"/>
      <c r="AC32" s="17"/>
      <c r="AD32" s="17"/>
      <c r="AE32" s="104" cm="1">
        <f t="array" ref="AE32">LOOKUP(2,1/(ISNUMBER(AF32:AQ32)),AF32:AQ32)</f>
        <v>17689.666666666679</v>
      </c>
      <c r="AF32" s="17">
        <v>2443.3333333333358</v>
      </c>
      <c r="AG32" s="17">
        <v>18686.666666666672</v>
      </c>
      <c r="AH32" s="17">
        <v>36520.000000000007</v>
      </c>
      <c r="AI32" s="17">
        <v>-143.66666666665697</v>
      </c>
      <c r="AJ32" s="17">
        <v>17689.666666666679</v>
      </c>
      <c r="AK32" s="17"/>
      <c r="AL32" s="17"/>
      <c r="AM32" s="17"/>
      <c r="AN32" s="17"/>
      <c r="AO32" s="17"/>
      <c r="AP32" s="17"/>
      <c r="AQ32" s="17"/>
    </row>
    <row r="33" spans="2:43" x14ac:dyDescent="0.35">
      <c r="B33" s="18" t="s">
        <v>44</v>
      </c>
      <c r="C33" s="21" t="b">
        <v>0</v>
      </c>
      <c r="D33" s="21" t="b">
        <v>1</v>
      </c>
      <c r="E33" s="104">
        <f t="shared" si="1"/>
        <v>412500</v>
      </c>
      <c r="F33" s="17">
        <v>82500</v>
      </c>
      <c r="G33" s="17">
        <v>165000</v>
      </c>
      <c r="H33" s="17">
        <v>247500</v>
      </c>
      <c r="I33" s="17">
        <v>330000</v>
      </c>
      <c r="J33" s="17">
        <v>412500</v>
      </c>
      <c r="K33" s="17"/>
      <c r="L33" s="17"/>
      <c r="M33" s="17"/>
      <c r="N33" s="17"/>
      <c r="O33" s="17"/>
      <c r="P33" s="17"/>
      <c r="Q33" s="17"/>
      <c r="R33" s="104" cm="1">
        <f t="array" ref="R33">LOOKUP(2,1/(ISNUMBER(S33:AD33)),S33:AD33)</f>
        <v>412010</v>
      </c>
      <c r="S33" s="17">
        <v>55000</v>
      </c>
      <c r="T33" s="17">
        <v>189400</v>
      </c>
      <c r="U33" s="17">
        <v>244400</v>
      </c>
      <c r="V33" s="17">
        <v>357010</v>
      </c>
      <c r="W33" s="17">
        <v>412010</v>
      </c>
      <c r="X33" s="17"/>
      <c r="Y33" s="17"/>
      <c r="Z33" s="17"/>
      <c r="AA33" s="17"/>
      <c r="AB33" s="17"/>
      <c r="AC33" s="17"/>
      <c r="AD33" s="17"/>
      <c r="AE33" s="104" cm="1">
        <f t="array" ref="AE33">LOOKUP(2,1/(ISNUMBER(AF33:AQ33)),AF33:AQ33)</f>
        <v>490</v>
      </c>
      <c r="AF33" s="17">
        <v>27500</v>
      </c>
      <c r="AG33" s="17">
        <v>-24400</v>
      </c>
      <c r="AH33" s="17">
        <v>3100</v>
      </c>
      <c r="AI33" s="17">
        <v>-27010</v>
      </c>
      <c r="AJ33" s="17">
        <v>490</v>
      </c>
      <c r="AK33" s="17"/>
      <c r="AL33" s="17"/>
      <c r="AM33" s="17"/>
      <c r="AN33" s="17"/>
      <c r="AO33" s="17"/>
      <c r="AP33" s="17"/>
      <c r="AQ33" s="17"/>
    </row>
    <row r="34" spans="2:43" x14ac:dyDescent="0.35">
      <c r="B34" s="18" t="s">
        <v>33</v>
      </c>
      <c r="C34" s="21" t="b">
        <v>0</v>
      </c>
      <c r="D34" s="21" t="b">
        <v>1</v>
      </c>
      <c r="E34" s="104">
        <f t="shared" si="1"/>
        <v>154166.66666666666</v>
      </c>
      <c r="F34" s="17">
        <v>30833.333333333332</v>
      </c>
      <c r="G34" s="17">
        <v>61666.666666666664</v>
      </c>
      <c r="H34" s="17">
        <v>92500</v>
      </c>
      <c r="I34" s="17">
        <v>123333.33333333333</v>
      </c>
      <c r="J34" s="17">
        <v>154166.66666666666</v>
      </c>
      <c r="K34" s="17"/>
      <c r="L34" s="17"/>
      <c r="M34" s="17"/>
      <c r="N34" s="17"/>
      <c r="O34" s="17"/>
      <c r="P34" s="17"/>
      <c r="Q34" s="17"/>
      <c r="R34" s="104" cm="1">
        <f t="array" ref="R34">LOOKUP(2,1/(ISNUMBER(S34:AD34)),S34:AD34)</f>
        <v>21349</v>
      </c>
      <c r="S34" s="17">
        <v>0</v>
      </c>
      <c r="T34" s="17">
        <v>16725</v>
      </c>
      <c r="U34" s="17">
        <v>18435</v>
      </c>
      <c r="V34" s="17">
        <v>21349</v>
      </c>
      <c r="W34" s="17">
        <v>21349</v>
      </c>
      <c r="X34" s="17"/>
      <c r="Y34" s="17"/>
      <c r="Z34" s="17"/>
      <c r="AA34" s="17"/>
      <c r="AB34" s="17"/>
      <c r="AC34" s="17"/>
      <c r="AD34" s="17"/>
      <c r="AE34" s="104" cm="1">
        <f t="array" ref="AE34">LOOKUP(2,1/(ISNUMBER(AF34:AQ34)),AF34:AQ34)</f>
        <v>132817.66666666666</v>
      </c>
      <c r="AF34" s="17">
        <v>30833.333333333332</v>
      </c>
      <c r="AG34" s="17">
        <v>44941.666666666664</v>
      </c>
      <c r="AH34" s="17">
        <v>74065</v>
      </c>
      <c r="AI34" s="17">
        <v>101984.33333333333</v>
      </c>
      <c r="AJ34" s="17">
        <v>132817.66666666666</v>
      </c>
      <c r="AK34" s="17"/>
      <c r="AL34" s="17"/>
      <c r="AM34" s="17"/>
      <c r="AN34" s="17"/>
      <c r="AO34" s="17"/>
      <c r="AP34" s="17"/>
      <c r="AQ34" s="17"/>
    </row>
    <row r="35" spans="2:43" x14ac:dyDescent="0.35">
      <c r="B35" s="18" t="s">
        <v>25</v>
      </c>
      <c r="C35" s="21" t="b">
        <v>0</v>
      </c>
      <c r="D35" s="21" t="b">
        <v>1</v>
      </c>
      <c r="E35" s="104">
        <f t="shared" si="1"/>
        <v>395833.33333333337</v>
      </c>
      <c r="F35" s="17">
        <v>79166.666666666672</v>
      </c>
      <c r="G35" s="17">
        <v>158333.33333333334</v>
      </c>
      <c r="H35" s="17">
        <v>237500</v>
      </c>
      <c r="I35" s="17">
        <v>316666.66666666669</v>
      </c>
      <c r="J35" s="17">
        <v>395833.33333333337</v>
      </c>
      <c r="K35" s="17"/>
      <c r="L35" s="17"/>
      <c r="M35" s="17"/>
      <c r="N35" s="17"/>
      <c r="O35" s="17"/>
      <c r="P35" s="17"/>
      <c r="Q35" s="17"/>
      <c r="R35" s="104" cm="1">
        <f t="array" ref="R35">LOOKUP(2,1/(ISNUMBER(S35:AD35)),S35:AD35)</f>
        <v>132180</v>
      </c>
      <c r="S35" s="17">
        <v>0</v>
      </c>
      <c r="T35" s="17">
        <v>46556</v>
      </c>
      <c r="U35" s="17">
        <v>46680</v>
      </c>
      <c r="V35" s="17">
        <v>132180</v>
      </c>
      <c r="W35" s="17">
        <v>132180</v>
      </c>
      <c r="X35" s="17"/>
      <c r="Y35" s="17"/>
      <c r="Z35" s="17"/>
      <c r="AA35" s="17"/>
      <c r="AB35" s="17"/>
      <c r="AC35" s="17"/>
      <c r="AD35" s="17"/>
      <c r="AE35" s="104" cm="1">
        <f t="array" ref="AE35">LOOKUP(2,1/(ISNUMBER(AF35:AQ35)),AF35:AQ35)</f>
        <v>263653.33333333337</v>
      </c>
      <c r="AF35" s="17">
        <v>79166.666666666672</v>
      </c>
      <c r="AG35" s="17">
        <v>111777.33333333334</v>
      </c>
      <c r="AH35" s="17">
        <v>190820</v>
      </c>
      <c r="AI35" s="17">
        <v>184486.66666666669</v>
      </c>
      <c r="AJ35" s="17">
        <v>263653.33333333337</v>
      </c>
      <c r="AK35" s="17"/>
      <c r="AL35" s="17"/>
      <c r="AM35" s="17"/>
      <c r="AN35" s="17"/>
      <c r="AO35" s="17"/>
      <c r="AP35" s="17"/>
      <c r="AQ35" s="17"/>
    </row>
    <row r="36" spans="2:43" x14ac:dyDescent="0.35">
      <c r="B36" s="18" t="s">
        <v>32</v>
      </c>
      <c r="C36" s="21" t="b">
        <v>0</v>
      </c>
      <c r="D36" s="21" t="b">
        <v>1</v>
      </c>
      <c r="E36" s="104">
        <f t="shared" si="1"/>
        <v>33333.333333333336</v>
      </c>
      <c r="F36" s="17">
        <v>6666.666666666667</v>
      </c>
      <c r="G36" s="17">
        <v>13333.333333333334</v>
      </c>
      <c r="H36" s="17">
        <v>20000</v>
      </c>
      <c r="I36" s="17">
        <v>26666.666666666668</v>
      </c>
      <c r="J36" s="17">
        <v>33333.333333333336</v>
      </c>
      <c r="K36" s="17"/>
      <c r="L36" s="17"/>
      <c r="M36" s="17"/>
      <c r="N36" s="17"/>
      <c r="O36" s="17"/>
      <c r="P36" s="17"/>
      <c r="Q36" s="17"/>
      <c r="R36" s="104" cm="1">
        <f t="array" ref="R36">LOOKUP(2,1/(ISNUMBER(S36:AD36)),S36:AD36)</f>
        <v>15087</v>
      </c>
      <c r="S36" s="17">
        <v>0</v>
      </c>
      <c r="T36" s="17">
        <v>1570</v>
      </c>
      <c r="U36" s="17">
        <v>11170</v>
      </c>
      <c r="V36" s="17">
        <v>13856</v>
      </c>
      <c r="W36" s="17">
        <v>15087</v>
      </c>
      <c r="X36" s="17"/>
      <c r="Y36" s="17"/>
      <c r="Z36" s="17"/>
      <c r="AA36" s="17"/>
      <c r="AB36" s="17"/>
      <c r="AC36" s="17"/>
      <c r="AD36" s="17"/>
      <c r="AE36" s="104" cm="1">
        <f t="array" ref="AE36">LOOKUP(2,1/(ISNUMBER(AF36:AQ36)),AF36:AQ36)</f>
        <v>18246.333333333336</v>
      </c>
      <c r="AF36" s="17">
        <v>6666.666666666667</v>
      </c>
      <c r="AG36" s="17">
        <v>11763.333333333334</v>
      </c>
      <c r="AH36" s="17">
        <v>8830</v>
      </c>
      <c r="AI36" s="17">
        <v>12810.666666666668</v>
      </c>
      <c r="AJ36" s="17">
        <v>18246.333333333336</v>
      </c>
      <c r="AK36" s="17"/>
      <c r="AL36" s="17"/>
      <c r="AM36" s="17"/>
      <c r="AN36" s="17"/>
      <c r="AO36" s="17"/>
      <c r="AP36" s="17"/>
      <c r="AQ36" s="17"/>
    </row>
    <row r="37" spans="2:43" x14ac:dyDescent="0.35">
      <c r="B37" s="18" t="s">
        <v>16</v>
      </c>
      <c r="C37" s="21" t="b">
        <v>0</v>
      </c>
      <c r="D37" s="21" t="b">
        <v>1</v>
      </c>
      <c r="E37" s="104">
        <f t="shared" si="1"/>
        <v>150000</v>
      </c>
      <c r="F37" s="17">
        <v>30000</v>
      </c>
      <c r="G37" s="17">
        <v>60000</v>
      </c>
      <c r="H37" s="17">
        <v>90000</v>
      </c>
      <c r="I37" s="17">
        <v>120000</v>
      </c>
      <c r="J37" s="17">
        <v>150000</v>
      </c>
      <c r="K37" s="17"/>
      <c r="L37" s="17"/>
      <c r="M37" s="17"/>
      <c r="N37" s="17"/>
      <c r="O37" s="17"/>
      <c r="P37" s="17"/>
      <c r="Q37" s="17"/>
      <c r="R37" s="104" cm="1">
        <f t="array" ref="R37">LOOKUP(2,1/(ISNUMBER(S37:AD37)),S37:AD37)</f>
        <v>130660</v>
      </c>
      <c r="S37" s="17">
        <v>0</v>
      </c>
      <c r="T37" s="17">
        <v>42812</v>
      </c>
      <c r="U37" s="17">
        <v>86736</v>
      </c>
      <c r="V37" s="17">
        <v>115648</v>
      </c>
      <c r="W37" s="17">
        <v>130660</v>
      </c>
      <c r="X37" s="17"/>
      <c r="Y37" s="17"/>
      <c r="Z37" s="17"/>
      <c r="AA37" s="17"/>
      <c r="AB37" s="17"/>
      <c r="AC37" s="17"/>
      <c r="AD37" s="17"/>
      <c r="AE37" s="104" cm="1">
        <f t="array" ref="AE37">LOOKUP(2,1/(ISNUMBER(AF37:AQ37)),AF37:AQ37)</f>
        <v>19340</v>
      </c>
      <c r="AF37" s="17">
        <v>30000</v>
      </c>
      <c r="AG37" s="17">
        <v>17188</v>
      </c>
      <c r="AH37" s="17">
        <v>3264</v>
      </c>
      <c r="AI37" s="17">
        <v>4352</v>
      </c>
      <c r="AJ37" s="17">
        <v>19340</v>
      </c>
      <c r="AK37" s="17"/>
      <c r="AL37" s="17"/>
      <c r="AM37" s="17"/>
      <c r="AN37" s="17"/>
      <c r="AO37" s="17"/>
      <c r="AP37" s="17"/>
      <c r="AQ37" s="17"/>
    </row>
    <row r="38" spans="2:43" x14ac:dyDescent="0.35">
      <c r="B38" s="53" t="s">
        <v>60</v>
      </c>
      <c r="C38" s="72" t="b">
        <v>0</v>
      </c>
      <c r="D38" s="72" t="b">
        <v>1</v>
      </c>
      <c r="E38" s="103">
        <f>MAX(F38:Q38)</f>
        <v>831250</v>
      </c>
      <c r="F38" s="54">
        <v>166250</v>
      </c>
      <c r="G38" s="54">
        <v>332500</v>
      </c>
      <c r="H38" s="54">
        <v>498750</v>
      </c>
      <c r="I38" s="54">
        <v>665000</v>
      </c>
      <c r="J38" s="54">
        <v>831250</v>
      </c>
      <c r="K38" s="54"/>
      <c r="L38" s="54"/>
      <c r="M38" s="54"/>
      <c r="N38" s="54"/>
      <c r="O38" s="54"/>
      <c r="P38" s="54"/>
      <c r="Q38" s="54"/>
      <c r="R38" s="103" cm="1">
        <f t="array" ref="R38">LOOKUP(2,1/(ISNUMBER(S38:AD38)),S38:AD38)</f>
        <v>617053</v>
      </c>
      <c r="S38" s="54">
        <v>1090</v>
      </c>
      <c r="T38" s="54">
        <v>318633</v>
      </c>
      <c r="U38" s="54">
        <v>588198</v>
      </c>
      <c r="V38" s="54">
        <v>601678</v>
      </c>
      <c r="W38" s="54">
        <v>617053</v>
      </c>
      <c r="X38" s="54"/>
      <c r="Y38" s="54"/>
      <c r="Z38" s="54"/>
      <c r="AA38" s="54"/>
      <c r="AB38" s="54"/>
      <c r="AC38" s="54"/>
      <c r="AD38" s="54"/>
      <c r="AE38" s="103" cm="1">
        <f t="array" ref="AE38">LOOKUP(2,1/(ISNUMBER(AF38:AQ38)),AF38:AQ38)</f>
        <v>214197</v>
      </c>
      <c r="AF38" s="56">
        <v>165160</v>
      </c>
      <c r="AG38" s="56">
        <v>13867</v>
      </c>
      <c r="AH38" s="54">
        <v>-89448</v>
      </c>
      <c r="AI38" s="54">
        <v>63322</v>
      </c>
      <c r="AJ38" s="54">
        <v>214197</v>
      </c>
      <c r="AK38" s="54"/>
      <c r="AL38" s="54"/>
      <c r="AM38" s="54"/>
      <c r="AN38" s="54"/>
      <c r="AO38" s="54"/>
      <c r="AP38" s="54"/>
      <c r="AQ38" s="54"/>
    </row>
    <row r="39" spans="2:43" x14ac:dyDescent="0.35">
      <c r="B39" s="18" t="s">
        <v>40</v>
      </c>
      <c r="C39" s="21" t="b">
        <v>0</v>
      </c>
      <c r="D39" s="21" t="b">
        <v>1</v>
      </c>
      <c r="E39" s="104">
        <f t="shared" si="1"/>
        <v>79166.666666666672</v>
      </c>
      <c r="F39" s="17">
        <v>15833.333333333334</v>
      </c>
      <c r="G39" s="17">
        <v>31666.666666666668</v>
      </c>
      <c r="H39" s="17">
        <v>47500</v>
      </c>
      <c r="I39" s="17">
        <v>63333.333333333336</v>
      </c>
      <c r="J39" s="17">
        <v>79166.666666666672</v>
      </c>
      <c r="K39" s="17"/>
      <c r="L39" s="17"/>
      <c r="M39" s="17"/>
      <c r="N39" s="17"/>
      <c r="O39" s="17"/>
      <c r="P39" s="17"/>
      <c r="Q39" s="17"/>
      <c r="R39" s="104" cm="1">
        <f t="array" ref="R39">LOOKUP(2,1/(ISNUMBER(S39:AD39)),S39:AD39)</f>
        <v>74797</v>
      </c>
      <c r="S39" s="17">
        <v>0</v>
      </c>
      <c r="T39" s="17">
        <v>51507</v>
      </c>
      <c r="U39" s="17">
        <v>53972</v>
      </c>
      <c r="V39" s="17">
        <v>65192</v>
      </c>
      <c r="W39" s="17">
        <v>74797</v>
      </c>
      <c r="X39" s="17"/>
      <c r="Y39" s="17"/>
      <c r="Z39" s="17"/>
      <c r="AA39" s="17"/>
      <c r="AB39" s="17"/>
      <c r="AC39" s="17"/>
      <c r="AD39" s="17"/>
      <c r="AE39" s="104" cm="1">
        <f t="array" ref="AE39">LOOKUP(2,1/(ISNUMBER(AF39:AQ39)),AF39:AQ39)</f>
        <v>4369.6666666666733</v>
      </c>
      <c r="AF39" s="17">
        <v>15833.333333333334</v>
      </c>
      <c r="AG39" s="17">
        <v>-19840.333333333328</v>
      </c>
      <c r="AH39" s="17">
        <v>-6471.9999999999945</v>
      </c>
      <c r="AI39" s="17">
        <v>-1858.6666666666606</v>
      </c>
      <c r="AJ39" s="17">
        <v>4369.6666666666733</v>
      </c>
      <c r="AK39" s="17"/>
      <c r="AL39" s="17"/>
      <c r="AM39" s="17"/>
      <c r="AN39" s="17"/>
      <c r="AO39" s="17"/>
      <c r="AP39" s="17"/>
      <c r="AQ39" s="17"/>
    </row>
    <row r="40" spans="2:43" x14ac:dyDescent="0.35">
      <c r="B40" s="18" t="s">
        <v>34</v>
      </c>
      <c r="C40" s="21" t="b">
        <v>0</v>
      </c>
      <c r="D40" s="21" t="b">
        <v>1</v>
      </c>
      <c r="E40" s="104">
        <f t="shared" si="1"/>
        <v>645833.33333333337</v>
      </c>
      <c r="F40" s="17">
        <v>129166.66666666667</v>
      </c>
      <c r="G40" s="17">
        <v>258333.33333333334</v>
      </c>
      <c r="H40" s="17">
        <v>387500</v>
      </c>
      <c r="I40" s="17">
        <v>516666.66666666669</v>
      </c>
      <c r="J40" s="17">
        <v>645833.33333333337</v>
      </c>
      <c r="K40" s="17"/>
      <c r="L40" s="17"/>
      <c r="M40" s="17"/>
      <c r="N40" s="17"/>
      <c r="O40" s="17"/>
      <c r="P40" s="17"/>
      <c r="Q40" s="17"/>
      <c r="R40" s="104" cm="1">
        <f t="array" ref="R40">LOOKUP(2,1/(ISNUMBER(S40:AD40)),S40:AD40)</f>
        <v>478581</v>
      </c>
      <c r="S40" s="17">
        <v>0</v>
      </c>
      <c r="T40" s="17">
        <v>211481</v>
      </c>
      <c r="U40" s="17">
        <v>478581</v>
      </c>
      <c r="V40" s="17">
        <v>478581</v>
      </c>
      <c r="W40" s="17">
        <v>478581</v>
      </c>
      <c r="X40" s="17"/>
      <c r="Y40" s="17"/>
      <c r="Z40" s="17"/>
      <c r="AA40" s="17"/>
      <c r="AB40" s="17"/>
      <c r="AC40" s="17"/>
      <c r="AD40" s="17"/>
      <c r="AE40" s="104" cm="1">
        <f t="array" ref="AE40">LOOKUP(2,1/(ISNUMBER(AF40:AQ40)),AF40:AQ40)</f>
        <v>167252.33333333337</v>
      </c>
      <c r="AF40" s="17">
        <v>129166.66666666667</v>
      </c>
      <c r="AG40" s="17">
        <v>46852.333333333343</v>
      </c>
      <c r="AH40" s="17">
        <v>-91080.999999999971</v>
      </c>
      <c r="AI40" s="17">
        <v>38085.666666666701</v>
      </c>
      <c r="AJ40" s="17">
        <v>167252.33333333337</v>
      </c>
      <c r="AK40" s="17"/>
      <c r="AL40" s="17"/>
      <c r="AM40" s="17"/>
      <c r="AN40" s="17"/>
      <c r="AO40" s="17"/>
      <c r="AP40" s="17"/>
      <c r="AQ40" s="17"/>
    </row>
    <row r="41" spans="2:43" x14ac:dyDescent="0.35">
      <c r="B41" s="18" t="s">
        <v>61</v>
      </c>
      <c r="C41" s="21" t="b">
        <v>0</v>
      </c>
      <c r="D41" s="21" t="b">
        <v>1</v>
      </c>
      <c r="E41" s="104">
        <f t="shared" si="1"/>
        <v>56250</v>
      </c>
      <c r="F41" s="17">
        <v>11250</v>
      </c>
      <c r="G41" s="17">
        <v>22500</v>
      </c>
      <c r="H41" s="17">
        <v>33750</v>
      </c>
      <c r="I41" s="17">
        <v>45000</v>
      </c>
      <c r="J41" s="17">
        <v>56250</v>
      </c>
      <c r="K41" s="17"/>
      <c r="L41" s="17"/>
      <c r="M41" s="17"/>
      <c r="N41" s="17"/>
      <c r="O41" s="17"/>
      <c r="P41" s="17"/>
      <c r="Q41" s="17"/>
      <c r="R41" s="104" cm="1">
        <f t="array" ref="R41">LOOKUP(2,1/(ISNUMBER(S41:AD41)),S41:AD41)</f>
        <v>31175</v>
      </c>
      <c r="S41" s="17">
        <v>1090</v>
      </c>
      <c r="T41" s="17">
        <v>23145</v>
      </c>
      <c r="U41" s="17">
        <v>23145</v>
      </c>
      <c r="V41" s="17">
        <v>25405</v>
      </c>
      <c r="W41" s="17">
        <v>31175</v>
      </c>
      <c r="X41" s="17"/>
      <c r="Y41" s="17"/>
      <c r="Z41" s="17"/>
      <c r="AA41" s="17"/>
      <c r="AB41" s="17"/>
      <c r="AC41" s="17"/>
      <c r="AD41" s="17"/>
      <c r="AE41" s="104" cm="1">
        <f t="array" ref="AE41">LOOKUP(2,1/(ISNUMBER(AF41:AQ41)),AF41:AQ41)</f>
        <v>25075</v>
      </c>
      <c r="AF41" s="17">
        <v>10160</v>
      </c>
      <c r="AG41" s="17">
        <v>-645</v>
      </c>
      <c r="AH41" s="17">
        <v>10605</v>
      </c>
      <c r="AI41" s="17">
        <v>19595</v>
      </c>
      <c r="AJ41" s="17">
        <v>25075</v>
      </c>
      <c r="AK41" s="17"/>
      <c r="AL41" s="17"/>
      <c r="AM41" s="17"/>
      <c r="AN41" s="17"/>
      <c r="AO41" s="17"/>
      <c r="AP41" s="17"/>
      <c r="AQ41" s="17"/>
    </row>
    <row r="42" spans="2:43" x14ac:dyDescent="0.35">
      <c r="B42" s="18" t="s">
        <v>43</v>
      </c>
      <c r="C42" s="21" t="b">
        <v>0</v>
      </c>
      <c r="D42" s="21" t="b">
        <v>1</v>
      </c>
      <c r="E42" s="104">
        <f t="shared" si="1"/>
        <v>50000</v>
      </c>
      <c r="F42" s="17">
        <v>10000</v>
      </c>
      <c r="G42" s="17">
        <v>20000</v>
      </c>
      <c r="H42" s="17">
        <v>30000</v>
      </c>
      <c r="I42" s="17">
        <v>40000</v>
      </c>
      <c r="J42" s="17">
        <v>50000</v>
      </c>
      <c r="K42" s="17"/>
      <c r="L42" s="17"/>
      <c r="M42" s="17"/>
      <c r="N42" s="17"/>
      <c r="O42" s="17"/>
      <c r="P42" s="17"/>
      <c r="Q42" s="17"/>
      <c r="R42" s="104" cm="1">
        <f t="array" ref="R42">LOOKUP(2,1/(ISNUMBER(S42:AD42)),S42:AD42)</f>
        <v>32500</v>
      </c>
      <c r="S42" s="17">
        <v>0</v>
      </c>
      <c r="T42" s="17">
        <v>32500</v>
      </c>
      <c r="U42" s="17">
        <v>32500</v>
      </c>
      <c r="V42" s="17">
        <v>32500</v>
      </c>
      <c r="W42" s="17">
        <v>32500</v>
      </c>
      <c r="X42" s="17"/>
      <c r="Y42" s="17"/>
      <c r="Z42" s="17"/>
      <c r="AA42" s="17"/>
      <c r="AB42" s="17"/>
      <c r="AC42" s="17"/>
      <c r="AD42" s="17"/>
      <c r="AE42" s="104" cm="1">
        <f t="array" ref="AE42">LOOKUP(2,1/(ISNUMBER(AF42:AQ42)),AF42:AQ42)</f>
        <v>17500</v>
      </c>
      <c r="AF42" s="17">
        <v>10000</v>
      </c>
      <c r="AG42" s="17">
        <v>-12500</v>
      </c>
      <c r="AH42" s="17">
        <v>-2500</v>
      </c>
      <c r="AI42" s="17">
        <v>7500</v>
      </c>
      <c r="AJ42" s="17">
        <v>17500</v>
      </c>
      <c r="AK42" s="17"/>
      <c r="AL42" s="17"/>
      <c r="AM42" s="17"/>
      <c r="AN42" s="17"/>
      <c r="AO42" s="17"/>
      <c r="AP42" s="17"/>
      <c r="AQ42" s="17"/>
    </row>
    <row r="43" spans="2:43" x14ac:dyDescent="0.35">
      <c r="B43" s="53" t="s">
        <v>106</v>
      </c>
      <c r="C43" s="72" t="b">
        <v>0</v>
      </c>
      <c r="D43" s="72" t="b">
        <v>1</v>
      </c>
      <c r="E43" s="103">
        <f t="shared" ref="E43:E51" si="2">MAX(F43:Q43)</f>
        <v>25041666.666666664</v>
      </c>
      <c r="F43" s="54">
        <v>5008333.333333333</v>
      </c>
      <c r="G43" s="54">
        <v>10016666.666666666</v>
      </c>
      <c r="H43" s="54">
        <v>15025000</v>
      </c>
      <c r="I43" s="54">
        <v>20033333.333333332</v>
      </c>
      <c r="J43" s="54">
        <v>25041666.666666664</v>
      </c>
      <c r="K43" s="54"/>
      <c r="L43" s="54"/>
      <c r="M43" s="54"/>
      <c r="N43" s="54"/>
      <c r="O43" s="54"/>
      <c r="P43" s="54"/>
      <c r="Q43" s="54"/>
      <c r="R43" s="103" cm="1">
        <f t="array" ref="R43">LOOKUP(2,1/(ISNUMBER(S43:AD43)),S43:AD43)</f>
        <v>24824882</v>
      </c>
      <c r="S43" s="54">
        <v>4522611</v>
      </c>
      <c r="T43" s="54">
        <v>9253267</v>
      </c>
      <c r="U43" s="54">
        <v>14397366</v>
      </c>
      <c r="V43" s="54">
        <v>19713204</v>
      </c>
      <c r="W43" s="54">
        <v>24824882</v>
      </c>
      <c r="X43" s="54"/>
      <c r="Y43" s="54"/>
      <c r="Z43" s="54"/>
      <c r="AA43" s="54"/>
      <c r="AB43" s="54"/>
      <c r="AC43" s="54"/>
      <c r="AD43" s="54"/>
      <c r="AE43" s="103" cm="1">
        <f t="array" ref="AE43">LOOKUP(2,1/(ISNUMBER(AF43:AQ43)),AF43:AQ43)</f>
        <v>216784.66666666511</v>
      </c>
      <c r="AF43" s="56">
        <v>485722.33333333302</v>
      </c>
      <c r="AG43" s="56">
        <v>763399.66666666605</v>
      </c>
      <c r="AH43" s="54">
        <v>627633.99999999907</v>
      </c>
      <c r="AI43" s="54">
        <v>320129.33333333209</v>
      </c>
      <c r="AJ43" s="54">
        <v>216784.66666666511</v>
      </c>
      <c r="AK43" s="54"/>
      <c r="AL43" s="54"/>
      <c r="AM43" s="54"/>
      <c r="AN43" s="54"/>
      <c r="AO43" s="54"/>
      <c r="AP43" s="54"/>
      <c r="AQ43" s="54"/>
    </row>
    <row r="44" spans="2:43" x14ac:dyDescent="0.35">
      <c r="B44" s="53" t="s">
        <v>62</v>
      </c>
      <c r="C44" s="72" t="b">
        <v>0</v>
      </c>
      <c r="D44" s="72" t="b">
        <v>1</v>
      </c>
      <c r="E44" s="103">
        <f t="shared" si="2"/>
        <v>83335</v>
      </c>
      <c r="F44" s="54">
        <v>16667</v>
      </c>
      <c r="G44" s="54">
        <v>33334</v>
      </c>
      <c r="H44" s="54">
        <v>50001</v>
      </c>
      <c r="I44" s="54">
        <v>66668</v>
      </c>
      <c r="J44" s="54">
        <v>83335</v>
      </c>
      <c r="K44" s="54"/>
      <c r="L44" s="54"/>
      <c r="M44" s="54"/>
      <c r="N44" s="54"/>
      <c r="O44" s="54"/>
      <c r="P44" s="54"/>
      <c r="Q44" s="54"/>
      <c r="R44" s="103" cm="1">
        <f t="array" ref="R44">LOOKUP(2,1/(ISNUMBER(S44:AD44)),S44:AD44)</f>
        <v>68705</v>
      </c>
      <c r="S44" s="54">
        <v>64687</v>
      </c>
      <c r="T44" s="54">
        <v>66991</v>
      </c>
      <c r="U44" s="54">
        <v>68005</v>
      </c>
      <c r="V44" s="54">
        <v>68005</v>
      </c>
      <c r="W44" s="54">
        <v>68705</v>
      </c>
      <c r="X44" s="54"/>
      <c r="Y44" s="54"/>
      <c r="Z44" s="54"/>
      <c r="AA44" s="54"/>
      <c r="AB44" s="54"/>
      <c r="AC44" s="54"/>
      <c r="AD44" s="54"/>
      <c r="AE44" s="103" cm="1">
        <f t="array" ref="AE44">LOOKUP(2,1/(ISNUMBER(AF44:AQ44)),AF44:AQ44)</f>
        <v>14630</v>
      </c>
      <c r="AF44" s="56">
        <v>-48020</v>
      </c>
      <c r="AG44" s="56">
        <v>-33657</v>
      </c>
      <c r="AH44" s="54">
        <v>-18004</v>
      </c>
      <c r="AI44" s="54">
        <v>-1337</v>
      </c>
      <c r="AJ44" s="54">
        <v>14630</v>
      </c>
      <c r="AK44" s="54"/>
      <c r="AL44" s="54"/>
      <c r="AM44" s="54"/>
      <c r="AN44" s="54"/>
      <c r="AO44" s="54"/>
      <c r="AP44" s="54"/>
      <c r="AQ44" s="54"/>
    </row>
    <row r="45" spans="2:43" x14ac:dyDescent="0.35">
      <c r="B45" s="53" t="s">
        <v>63</v>
      </c>
      <c r="C45" s="72" t="b">
        <v>0</v>
      </c>
      <c r="D45" s="72" t="b">
        <v>1</v>
      </c>
      <c r="E45" s="103">
        <f t="shared" si="2"/>
        <v>437500</v>
      </c>
      <c r="F45" s="54">
        <v>87500</v>
      </c>
      <c r="G45" s="54">
        <v>175000</v>
      </c>
      <c r="H45" s="54">
        <v>262500</v>
      </c>
      <c r="I45" s="54">
        <v>350000</v>
      </c>
      <c r="J45" s="54">
        <v>437500</v>
      </c>
      <c r="K45" s="54"/>
      <c r="L45" s="54"/>
      <c r="M45" s="54"/>
      <c r="N45" s="54"/>
      <c r="O45" s="54"/>
      <c r="P45" s="54"/>
      <c r="Q45" s="54"/>
      <c r="R45" s="103" cm="1">
        <f t="array" ref="R45">LOOKUP(2,1/(ISNUMBER(S45:AD45)),S45:AD45)</f>
        <v>66571</v>
      </c>
      <c r="S45" s="54">
        <v>9384</v>
      </c>
      <c r="T45" s="54">
        <v>13250</v>
      </c>
      <c r="U45" s="54">
        <v>42829</v>
      </c>
      <c r="V45" s="54">
        <v>47459</v>
      </c>
      <c r="W45" s="54">
        <v>66571</v>
      </c>
      <c r="X45" s="54"/>
      <c r="Y45" s="54"/>
      <c r="Z45" s="54"/>
      <c r="AA45" s="54"/>
      <c r="AB45" s="54"/>
      <c r="AC45" s="54"/>
      <c r="AD45" s="54"/>
      <c r="AE45" s="103" cm="1">
        <f t="array" ref="AE45">LOOKUP(2,1/(ISNUMBER(AF45:AQ45)),AF45:AQ45)</f>
        <v>370929</v>
      </c>
      <c r="AF45" s="56">
        <v>78116</v>
      </c>
      <c r="AG45" s="56">
        <v>161750</v>
      </c>
      <c r="AH45" s="54">
        <v>219671</v>
      </c>
      <c r="AI45" s="54">
        <v>302541</v>
      </c>
      <c r="AJ45" s="54">
        <v>370929</v>
      </c>
      <c r="AK45" s="54"/>
      <c r="AL45" s="54"/>
      <c r="AM45" s="54"/>
      <c r="AN45" s="54"/>
      <c r="AO45" s="54"/>
      <c r="AP45" s="54"/>
      <c r="AQ45" s="54"/>
    </row>
    <row r="46" spans="2:43" x14ac:dyDescent="0.35">
      <c r="B46" s="18" t="s">
        <v>64</v>
      </c>
      <c r="C46" s="21" t="b">
        <v>0</v>
      </c>
      <c r="D46" s="21" t="b">
        <v>1</v>
      </c>
      <c r="E46" s="104">
        <f t="shared" si="2"/>
        <v>108333.33333333334</v>
      </c>
      <c r="F46" s="17">
        <v>21666.666666666668</v>
      </c>
      <c r="G46" s="17">
        <v>43333.333333333336</v>
      </c>
      <c r="H46" s="17">
        <v>65000</v>
      </c>
      <c r="I46" s="17">
        <v>86666.666666666672</v>
      </c>
      <c r="J46" s="17">
        <v>108333.33333333334</v>
      </c>
      <c r="K46" s="17"/>
      <c r="L46" s="17"/>
      <c r="M46" s="17"/>
      <c r="N46" s="17"/>
      <c r="O46" s="17"/>
      <c r="P46" s="17"/>
      <c r="Q46" s="17"/>
      <c r="R46" s="104" cm="1">
        <f t="array" ref="R46">LOOKUP(2,1/(ISNUMBER(S46:AD46)),S46:AD46)</f>
        <v>59934</v>
      </c>
      <c r="S46" s="17">
        <v>3866</v>
      </c>
      <c r="T46" s="17">
        <v>7732</v>
      </c>
      <c r="U46" s="17">
        <v>36738</v>
      </c>
      <c r="V46" s="17">
        <v>40822</v>
      </c>
      <c r="W46" s="17">
        <v>59934</v>
      </c>
      <c r="X46" s="17"/>
      <c r="Y46" s="17"/>
      <c r="Z46" s="17"/>
      <c r="AA46" s="17"/>
      <c r="AB46" s="17"/>
      <c r="AC46" s="17"/>
      <c r="AD46" s="17"/>
      <c r="AE46" s="104" cm="1">
        <f t="array" ref="AE46">LOOKUP(2,1/(ISNUMBER(AF46:AQ46)),AF46:AQ46)</f>
        <v>48399.333333333343</v>
      </c>
      <c r="AF46" s="17">
        <v>17800.666666666668</v>
      </c>
      <c r="AG46" s="17">
        <v>35601.333333333336</v>
      </c>
      <c r="AH46" s="17">
        <v>28262.000000000004</v>
      </c>
      <c r="AI46" s="17">
        <v>45844.666666666672</v>
      </c>
      <c r="AJ46" s="17">
        <v>48399.333333333343</v>
      </c>
      <c r="AK46" s="17"/>
      <c r="AL46" s="17"/>
      <c r="AM46" s="17"/>
      <c r="AN46" s="17"/>
      <c r="AO46" s="17"/>
      <c r="AP46" s="17"/>
      <c r="AQ46" s="17"/>
    </row>
    <row r="47" spans="2:43" x14ac:dyDescent="0.35">
      <c r="B47" s="18" t="s">
        <v>29</v>
      </c>
      <c r="C47" s="21" t="b">
        <v>0</v>
      </c>
      <c r="D47" s="21" t="b">
        <v>1</v>
      </c>
      <c r="E47" s="104">
        <f t="shared" si="2"/>
        <v>8333.3333333333339</v>
      </c>
      <c r="F47" s="17">
        <v>1666.6666666666667</v>
      </c>
      <c r="G47" s="17">
        <v>3333.3333333333335</v>
      </c>
      <c r="H47" s="17">
        <v>5000</v>
      </c>
      <c r="I47" s="17">
        <v>6666.666666666667</v>
      </c>
      <c r="J47" s="17">
        <v>8333.3333333333339</v>
      </c>
      <c r="K47" s="17"/>
      <c r="L47" s="17"/>
      <c r="M47" s="17"/>
      <c r="N47" s="17"/>
      <c r="O47" s="17"/>
      <c r="P47" s="17"/>
      <c r="Q47" s="17"/>
      <c r="R47" s="104" cm="1">
        <f t="array" ref="R47">LOOKUP(2,1/(ISNUMBER(S47:AD47)),S47:AD47)</f>
        <v>6637</v>
      </c>
      <c r="S47" s="17">
        <v>5518</v>
      </c>
      <c r="T47" s="17">
        <v>5518</v>
      </c>
      <c r="U47" s="17">
        <v>6091</v>
      </c>
      <c r="V47" s="17">
        <v>6637</v>
      </c>
      <c r="W47" s="17">
        <v>6637</v>
      </c>
      <c r="X47" s="17"/>
      <c r="Y47" s="17"/>
      <c r="Z47" s="17"/>
      <c r="AA47" s="17"/>
      <c r="AB47" s="17"/>
      <c r="AC47" s="17"/>
      <c r="AD47" s="17"/>
      <c r="AE47" s="104" cm="1">
        <f t="array" ref="AE47">LOOKUP(2,1/(ISNUMBER(AF47:AQ47)),AF47:AQ47)</f>
        <v>1696.3333333333342</v>
      </c>
      <c r="AF47" s="17">
        <v>-3851.333333333333</v>
      </c>
      <c r="AG47" s="17">
        <v>-2184.6666666666661</v>
      </c>
      <c r="AH47" s="17">
        <v>-1090.9999999999993</v>
      </c>
      <c r="AI47" s="17">
        <v>29.666666666667425</v>
      </c>
      <c r="AJ47" s="17">
        <v>1696.3333333333342</v>
      </c>
      <c r="AK47" s="17"/>
      <c r="AL47" s="17"/>
      <c r="AM47" s="17"/>
      <c r="AN47" s="17"/>
      <c r="AO47" s="17"/>
      <c r="AP47" s="17"/>
      <c r="AQ47" s="17"/>
    </row>
    <row r="48" spans="2:43" x14ac:dyDescent="0.35">
      <c r="B48" s="18" t="s">
        <v>65</v>
      </c>
      <c r="C48" s="21" t="b">
        <v>0</v>
      </c>
      <c r="D48" s="21" t="b">
        <v>1</v>
      </c>
      <c r="E48" s="104">
        <f t="shared" si="2"/>
        <v>320833.33333333331</v>
      </c>
      <c r="F48" s="57">
        <v>64166.666666666664</v>
      </c>
      <c r="G48" s="57">
        <v>128333.33333333333</v>
      </c>
      <c r="H48" s="57">
        <v>192500</v>
      </c>
      <c r="I48" s="57">
        <v>256666.66666666666</v>
      </c>
      <c r="J48" s="57">
        <v>320833.33333333331</v>
      </c>
      <c r="K48" s="57"/>
      <c r="L48" s="57"/>
      <c r="M48" s="57"/>
      <c r="N48" s="57"/>
      <c r="O48" s="57"/>
      <c r="P48" s="57"/>
      <c r="Q48" s="57"/>
      <c r="R48" s="104" cm="1">
        <f t="array" ref="R48">LOOKUP(2,1/(ISNUMBER(S48:AD48)),S48:AD48)</f>
        <v>0</v>
      </c>
      <c r="S48" s="57">
        <v>0</v>
      </c>
      <c r="T48" s="57">
        <v>0</v>
      </c>
      <c r="U48" s="57">
        <v>0</v>
      </c>
      <c r="V48" s="57">
        <v>0</v>
      </c>
      <c r="W48" s="57">
        <v>0</v>
      </c>
      <c r="X48" s="57"/>
      <c r="Y48" s="57"/>
      <c r="Z48" s="57"/>
      <c r="AA48" s="57"/>
      <c r="AB48" s="57"/>
      <c r="AC48" s="57"/>
      <c r="AD48" s="57"/>
      <c r="AE48" s="104" cm="1">
        <f t="array" ref="AE48">LOOKUP(2,1/(ISNUMBER(AF48:AQ48)),AF48:AQ48)</f>
        <v>320833.33333333331</v>
      </c>
      <c r="AF48" s="57">
        <v>64166.666666666664</v>
      </c>
      <c r="AG48" s="57">
        <v>128333.33333333333</v>
      </c>
      <c r="AH48" s="57">
        <v>192500</v>
      </c>
      <c r="AI48" s="57">
        <v>256666.66666666666</v>
      </c>
      <c r="AJ48" s="57">
        <v>320833.33333333331</v>
      </c>
      <c r="AK48" s="57"/>
      <c r="AL48" s="57"/>
      <c r="AM48" s="57"/>
      <c r="AN48" s="57"/>
      <c r="AO48" s="57"/>
      <c r="AP48" s="57"/>
      <c r="AQ48" s="57"/>
    </row>
    <row r="49" spans="2:43" x14ac:dyDescent="0.35">
      <c r="B49" s="53" t="s">
        <v>66</v>
      </c>
      <c r="C49" s="72" t="b">
        <v>0</v>
      </c>
      <c r="D49" s="72" t="b">
        <v>1</v>
      </c>
      <c r="E49" s="103">
        <f t="shared" si="2"/>
        <v>3983341.666666667</v>
      </c>
      <c r="F49" s="54">
        <v>796668.33333333337</v>
      </c>
      <c r="G49" s="54">
        <v>1593336.6666666667</v>
      </c>
      <c r="H49" s="54">
        <v>2390005</v>
      </c>
      <c r="I49" s="54">
        <v>3186673.3333333335</v>
      </c>
      <c r="J49" s="54">
        <v>3983341.666666667</v>
      </c>
      <c r="K49" s="54"/>
      <c r="L49" s="54"/>
      <c r="M49" s="54"/>
      <c r="N49" s="54"/>
      <c r="O49" s="54"/>
      <c r="P49" s="54"/>
      <c r="Q49" s="54"/>
      <c r="R49" s="103" cm="1">
        <f t="array" ref="R49">LOOKUP(2,1/(ISNUMBER(S49:AD49)),S49:AD49)</f>
        <v>5027216</v>
      </c>
      <c r="S49" s="54">
        <v>2723036</v>
      </c>
      <c r="T49" s="54">
        <v>3299082</v>
      </c>
      <c r="U49" s="54">
        <v>3875127</v>
      </c>
      <c r="V49" s="54">
        <v>4451172</v>
      </c>
      <c r="W49" s="54">
        <v>5027216</v>
      </c>
      <c r="X49" s="54"/>
      <c r="Y49" s="54"/>
      <c r="Z49" s="54"/>
      <c r="AA49" s="54"/>
      <c r="AB49" s="54"/>
      <c r="AC49" s="54"/>
      <c r="AD49" s="54"/>
      <c r="AE49" s="103" cm="1">
        <f t="array" ref="AE49">LOOKUP(2,1/(ISNUMBER(AF49:AQ49)),AF49:AQ49)</f>
        <v>-1043874.3333333327</v>
      </c>
      <c r="AF49" s="56">
        <v>-1926367.6666666665</v>
      </c>
      <c r="AG49" s="56">
        <v>-1705745.333333333</v>
      </c>
      <c r="AH49" s="54">
        <v>-1485121.9999999995</v>
      </c>
      <c r="AI49" s="54">
        <v>-1264498.666666666</v>
      </c>
      <c r="AJ49" s="54">
        <v>-1043874.3333333327</v>
      </c>
      <c r="AK49" s="54"/>
      <c r="AL49" s="54"/>
      <c r="AM49" s="54"/>
      <c r="AN49" s="54"/>
      <c r="AO49" s="54"/>
      <c r="AP49" s="54"/>
      <c r="AQ49" s="54"/>
    </row>
    <row r="50" spans="2:43" x14ac:dyDescent="0.35">
      <c r="B50" s="53" t="s">
        <v>67</v>
      </c>
      <c r="C50" s="72" t="b">
        <v>0</v>
      </c>
      <c r="D50" s="72" t="b">
        <v>1</v>
      </c>
      <c r="E50" s="103">
        <f t="shared" si="2"/>
        <v>0</v>
      </c>
      <c r="F50" s="54">
        <v>0</v>
      </c>
      <c r="G50" s="54">
        <v>0</v>
      </c>
      <c r="H50" s="54">
        <v>0</v>
      </c>
      <c r="I50" s="54">
        <v>0</v>
      </c>
      <c r="J50" s="54">
        <v>0</v>
      </c>
      <c r="K50" s="54"/>
      <c r="L50" s="54"/>
      <c r="M50" s="54"/>
      <c r="N50" s="54"/>
      <c r="O50" s="54"/>
      <c r="P50" s="54"/>
      <c r="Q50" s="54"/>
      <c r="R50" s="103" cm="1">
        <f t="array" ref="R50">LOOKUP(2,1/(ISNUMBER(S50:AD50)),S50:AD50)</f>
        <v>378690</v>
      </c>
      <c r="S50" s="54">
        <v>44875</v>
      </c>
      <c r="T50" s="54">
        <v>74688</v>
      </c>
      <c r="U50" s="54">
        <v>160733</v>
      </c>
      <c r="V50" s="54">
        <v>252693</v>
      </c>
      <c r="W50" s="54">
        <v>378690</v>
      </c>
      <c r="X50" s="54"/>
      <c r="Y50" s="54"/>
      <c r="Z50" s="54"/>
      <c r="AA50" s="54"/>
      <c r="AB50" s="54"/>
      <c r="AC50" s="54"/>
      <c r="AD50" s="54"/>
      <c r="AE50" s="103" cm="1">
        <f t="array" ref="AE50">LOOKUP(2,1/(ISNUMBER(AF50:AQ50)),AF50:AQ50)</f>
        <v>-378690</v>
      </c>
      <c r="AF50" s="56">
        <v>-44875</v>
      </c>
      <c r="AG50" s="56">
        <v>-74688</v>
      </c>
      <c r="AH50" s="54">
        <v>-160733</v>
      </c>
      <c r="AI50" s="54">
        <v>-252693</v>
      </c>
      <c r="AJ50" s="54">
        <v>-378690</v>
      </c>
      <c r="AK50" s="54"/>
      <c r="AL50" s="54"/>
      <c r="AM50" s="54"/>
      <c r="AN50" s="54"/>
      <c r="AO50" s="54"/>
      <c r="AP50" s="54"/>
      <c r="AQ50" s="54"/>
    </row>
    <row r="51" spans="2:43" x14ac:dyDescent="0.35">
      <c r="B51" s="52" t="s">
        <v>69</v>
      </c>
      <c r="C51" s="73" t="b">
        <v>0</v>
      </c>
      <c r="D51" s="73" t="b">
        <v>1</v>
      </c>
      <c r="E51" s="105">
        <f t="shared" si="2"/>
        <v>34389176.666666672</v>
      </c>
      <c r="F51" s="59">
        <v>6877835.333333334</v>
      </c>
      <c r="G51" s="59">
        <v>13755670.666666668</v>
      </c>
      <c r="H51" s="59">
        <v>20633506</v>
      </c>
      <c r="I51" s="59">
        <v>27511341.333333336</v>
      </c>
      <c r="J51" s="59">
        <v>34389176.666666672</v>
      </c>
      <c r="K51" s="59"/>
      <c r="L51" s="59"/>
      <c r="M51" s="59"/>
      <c r="N51" s="59"/>
      <c r="O51" s="59"/>
      <c r="P51" s="59"/>
      <c r="Q51" s="59"/>
      <c r="R51" s="105" cm="1">
        <f t="array" ref="R51">LOOKUP(2,1/(ISNUMBER(S51:AD51)),S51:AD51)</f>
        <v>33987284.600000001</v>
      </c>
      <c r="S51" s="59">
        <v>7809588.4000000004</v>
      </c>
      <c r="T51" s="59">
        <v>14182967.4</v>
      </c>
      <c r="U51" s="59">
        <v>20879065.800000001</v>
      </c>
      <c r="V51" s="59">
        <v>27651993.600000001</v>
      </c>
      <c r="W51" s="59">
        <v>33987284.600000001</v>
      </c>
      <c r="X51" s="59"/>
      <c r="Y51" s="59"/>
      <c r="Z51" s="59"/>
      <c r="AA51" s="59"/>
      <c r="AB51" s="59"/>
      <c r="AC51" s="59"/>
      <c r="AD51" s="59"/>
      <c r="AE51" s="105" cm="1">
        <f t="array" ref="AE51">LOOKUP(2,1/(ISNUMBER(AF51:AQ51)),AF51:AQ51)</f>
        <v>401892.06666666921</v>
      </c>
      <c r="AF51" s="58">
        <v>-931753.06666666642</v>
      </c>
      <c r="AG51" s="58">
        <v>-427296.73333333246</v>
      </c>
      <c r="AH51" s="59">
        <v>-245559.79999999888</v>
      </c>
      <c r="AI51" s="59">
        <v>-140652.26666666474</v>
      </c>
      <c r="AJ51" s="59">
        <v>401892.06666666921</v>
      </c>
      <c r="AK51" s="59"/>
      <c r="AL51" s="59"/>
      <c r="AM51" s="59"/>
      <c r="AN51" s="59"/>
      <c r="AO51" s="59"/>
      <c r="AP51" s="59"/>
      <c r="AQ51" s="59"/>
    </row>
    <row r="52" spans="2:43" x14ac:dyDescent="0.35">
      <c r="B52" s="34"/>
      <c r="C52" s="44"/>
      <c r="D52" s="44"/>
      <c r="E52" s="106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6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6"/>
      <c r="AF52" s="9"/>
      <c r="AG52" s="9"/>
      <c r="AH52" s="10"/>
      <c r="AI52" s="10"/>
      <c r="AJ52" s="10"/>
      <c r="AK52" s="10"/>
      <c r="AL52" s="10"/>
      <c r="AM52" s="10"/>
      <c r="AN52" s="10"/>
      <c r="AO52" s="10"/>
      <c r="AP52" s="10"/>
      <c r="AQ52" s="10"/>
    </row>
    <row r="53" spans="2:43" x14ac:dyDescent="0.35">
      <c r="B53" s="3" t="s">
        <v>70</v>
      </c>
      <c r="C53" s="43"/>
      <c r="D53" s="43"/>
      <c r="E53" s="105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105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105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2:43" x14ac:dyDescent="0.35">
      <c r="B54" s="32" t="s">
        <v>51</v>
      </c>
      <c r="C54" s="23" t="b">
        <v>0</v>
      </c>
      <c r="D54" s="23" t="b">
        <v>1</v>
      </c>
      <c r="E54" s="103">
        <f>MAX(F54:Q54)</f>
        <v>21756250</v>
      </c>
      <c r="F54" s="4">
        <v>4351250</v>
      </c>
      <c r="G54" s="4">
        <v>8702500</v>
      </c>
      <c r="H54" s="4">
        <v>13053750</v>
      </c>
      <c r="I54" s="4">
        <v>17405000</v>
      </c>
      <c r="J54" s="4">
        <v>21756250</v>
      </c>
      <c r="K54" s="4"/>
      <c r="L54" s="4"/>
      <c r="M54" s="4"/>
      <c r="N54" s="4"/>
      <c r="O54" s="4"/>
      <c r="P54" s="4"/>
      <c r="Q54" s="4"/>
      <c r="R54" s="103" cm="1">
        <f t="array" ref="R54">LOOKUP(2,1/(ISNUMBER(S54:AD54)),S54:AD54)</f>
        <v>29361802.700000003</v>
      </c>
      <c r="S54" s="4">
        <v>4325103.8800000008</v>
      </c>
      <c r="T54" s="4">
        <v>9137977.0700000003</v>
      </c>
      <c r="U54" s="4">
        <v>17602382.57</v>
      </c>
      <c r="V54" s="4">
        <v>23148544.300000001</v>
      </c>
      <c r="W54" s="4">
        <v>29361802.700000003</v>
      </c>
      <c r="X54" s="4"/>
      <c r="Y54" s="4"/>
      <c r="Z54" s="4"/>
      <c r="AA54" s="4"/>
      <c r="AB54" s="4"/>
      <c r="AC54" s="4"/>
      <c r="AD54" s="4"/>
      <c r="AE54" s="103" cm="1">
        <f t="array" ref="AE54">LOOKUP(2,1/(ISNUMBER(AF54:AQ54)),AF54:AQ54)</f>
        <v>-7605552.7000000011</v>
      </c>
      <c r="AF54" s="6">
        <v>26146.11999999918</v>
      </c>
      <c r="AG54" s="6">
        <v>-435477.0700000003</v>
      </c>
      <c r="AH54" s="4">
        <v>-4548632.57</v>
      </c>
      <c r="AI54" s="4">
        <v>-5743544.3000000007</v>
      </c>
      <c r="AJ54" s="4">
        <v>-7605552.7000000011</v>
      </c>
      <c r="AK54" s="4"/>
      <c r="AL54" s="4"/>
      <c r="AM54" s="4"/>
      <c r="AN54" s="4"/>
      <c r="AO54" s="4"/>
      <c r="AP54" s="4"/>
      <c r="AQ54" s="4"/>
    </row>
    <row r="55" spans="2:43" x14ac:dyDescent="0.35">
      <c r="B55" s="33" t="s">
        <v>71</v>
      </c>
      <c r="C55" s="24" t="b">
        <v>0</v>
      </c>
      <c r="D55" s="24" t="b">
        <v>1</v>
      </c>
      <c r="E55" s="104">
        <f t="shared" ref="E55:E70" si="3">MAX(F55:Q55)</f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R55" s="104" cm="1">
        <f t="array" ref="R55">LOOKUP(2,1/(ISNUMBER(S55:AD55)),S55:AD55)</f>
        <v>1125</v>
      </c>
      <c r="S55" s="5">
        <v>0</v>
      </c>
      <c r="T55" s="5">
        <v>0</v>
      </c>
      <c r="U55" s="5">
        <v>0</v>
      </c>
      <c r="V55" s="5">
        <v>0</v>
      </c>
      <c r="W55" s="5">
        <v>1125</v>
      </c>
      <c r="X55" s="5"/>
      <c r="Y55" s="5"/>
      <c r="Z55" s="5"/>
      <c r="AA55" s="5"/>
      <c r="AB55" s="5"/>
      <c r="AC55" s="5"/>
      <c r="AD55" s="5"/>
      <c r="AE55" s="104" cm="1">
        <f t="array" ref="AE55">LOOKUP(2,1/(ISNUMBER(AF55:AQ55)),AF55:AQ55)</f>
        <v>-1125</v>
      </c>
      <c r="AF55" s="5">
        <v>0</v>
      </c>
      <c r="AG55" s="5">
        <v>0</v>
      </c>
      <c r="AH55" s="5">
        <v>0</v>
      </c>
      <c r="AI55" s="5">
        <v>0</v>
      </c>
      <c r="AJ55" s="5">
        <v>-1125</v>
      </c>
      <c r="AK55" s="5"/>
      <c r="AL55" s="5"/>
      <c r="AM55" s="5"/>
      <c r="AN55" s="5"/>
      <c r="AO55" s="5"/>
      <c r="AP55" s="5"/>
      <c r="AQ55" s="5"/>
    </row>
    <row r="56" spans="2:43" x14ac:dyDescent="0.35">
      <c r="B56" s="33" t="s">
        <v>30</v>
      </c>
      <c r="C56" s="24" t="b">
        <v>0</v>
      </c>
      <c r="D56" s="24" t="b">
        <v>1</v>
      </c>
      <c r="E56" s="104">
        <f t="shared" si="3"/>
        <v>77083.333333333328</v>
      </c>
      <c r="F56" s="5">
        <v>15416.666666666666</v>
      </c>
      <c r="G56" s="5">
        <v>30833.333333333332</v>
      </c>
      <c r="H56" s="5">
        <v>46250</v>
      </c>
      <c r="I56" s="5">
        <v>61666.666666666664</v>
      </c>
      <c r="J56" s="5">
        <v>77083.333333333328</v>
      </c>
      <c r="R56" s="104" cm="1">
        <f t="array" ref="R56">LOOKUP(2,1/(ISNUMBER(S56:AD56)),S56:AD56)</f>
        <v>39439</v>
      </c>
      <c r="S56" s="5">
        <v>4635</v>
      </c>
      <c r="T56" s="5">
        <v>10557</v>
      </c>
      <c r="U56" s="5">
        <v>16888</v>
      </c>
      <c r="V56" s="5">
        <v>25679</v>
      </c>
      <c r="W56" s="5">
        <v>39439</v>
      </c>
      <c r="X56" s="5"/>
      <c r="Y56" s="5"/>
      <c r="Z56" s="5"/>
      <c r="AA56" s="5"/>
      <c r="AB56" s="5"/>
      <c r="AC56" s="5"/>
      <c r="AD56" s="5"/>
      <c r="AE56" s="104" cm="1">
        <f t="array" ref="AE56">LOOKUP(2,1/(ISNUMBER(AF56:AQ56)),AF56:AQ56)</f>
        <v>37644.333333333328</v>
      </c>
      <c r="AF56" s="5">
        <v>10781.666666666666</v>
      </c>
      <c r="AG56" s="5">
        <v>20276.333333333332</v>
      </c>
      <c r="AH56" s="5">
        <v>29362</v>
      </c>
      <c r="AI56" s="5">
        <v>35987.666666666664</v>
      </c>
      <c r="AJ56" s="5">
        <v>37644.333333333328</v>
      </c>
      <c r="AK56" s="5"/>
      <c r="AL56" s="5"/>
      <c r="AM56" s="5"/>
      <c r="AN56" s="5"/>
      <c r="AO56" s="5"/>
      <c r="AP56" s="5"/>
      <c r="AQ56" s="5"/>
    </row>
    <row r="57" spans="2:43" x14ac:dyDescent="0.35">
      <c r="B57" s="33" t="s">
        <v>28</v>
      </c>
      <c r="C57" s="24" t="b">
        <v>0</v>
      </c>
      <c r="D57" s="24" t="b">
        <v>1</v>
      </c>
      <c r="E57" s="104">
        <f t="shared" si="3"/>
        <v>225000</v>
      </c>
      <c r="F57" s="5">
        <v>45000</v>
      </c>
      <c r="G57" s="5">
        <v>90000</v>
      </c>
      <c r="H57" s="5">
        <v>135000</v>
      </c>
      <c r="I57" s="5">
        <v>180000</v>
      </c>
      <c r="J57" s="5">
        <v>225000</v>
      </c>
      <c r="R57" s="104" cm="1">
        <f t="array" ref="R57">LOOKUP(2,1/(ISNUMBER(S57:AD57)),S57:AD57)</f>
        <v>325364</v>
      </c>
      <c r="S57" s="5">
        <v>44796</v>
      </c>
      <c r="T57" s="5">
        <v>107630</v>
      </c>
      <c r="U57" s="5">
        <v>152888</v>
      </c>
      <c r="V57" s="5">
        <v>247473</v>
      </c>
      <c r="W57" s="5">
        <v>325364</v>
      </c>
      <c r="X57" s="5"/>
      <c r="Y57" s="5"/>
      <c r="Z57" s="5"/>
      <c r="AA57" s="5"/>
      <c r="AB57" s="5"/>
      <c r="AC57" s="5"/>
      <c r="AD57" s="5"/>
      <c r="AE57" s="104" cm="1">
        <f t="array" ref="AE57">LOOKUP(2,1/(ISNUMBER(AF57:AQ57)),AF57:AQ57)</f>
        <v>-100364</v>
      </c>
      <c r="AF57" s="5">
        <v>204</v>
      </c>
      <c r="AG57" s="5">
        <v>-17630</v>
      </c>
      <c r="AH57" s="5">
        <v>-17888</v>
      </c>
      <c r="AI57" s="5">
        <v>-67473</v>
      </c>
      <c r="AJ57" s="5">
        <v>-100364</v>
      </c>
      <c r="AK57" s="5"/>
      <c r="AL57" s="5"/>
      <c r="AM57" s="5"/>
      <c r="AN57" s="5"/>
      <c r="AO57" s="5"/>
      <c r="AP57" s="5"/>
      <c r="AQ57" s="5"/>
    </row>
    <row r="58" spans="2:43" x14ac:dyDescent="0.35">
      <c r="B58" s="33" t="s">
        <v>9</v>
      </c>
      <c r="C58" s="24" t="b">
        <v>0</v>
      </c>
      <c r="D58" s="24" t="b">
        <v>1</v>
      </c>
      <c r="E58" s="104">
        <f t="shared" si="3"/>
        <v>100000</v>
      </c>
      <c r="F58" s="5">
        <v>20000</v>
      </c>
      <c r="G58" s="5">
        <v>40000</v>
      </c>
      <c r="H58" s="5">
        <v>60000</v>
      </c>
      <c r="I58" s="5">
        <v>80000</v>
      </c>
      <c r="J58" s="5">
        <v>100000</v>
      </c>
      <c r="R58" s="104" cm="1">
        <f t="array" ref="R58">LOOKUP(2,1/(ISNUMBER(S58:AD58)),S58:AD58)</f>
        <v>156538</v>
      </c>
      <c r="S58" s="5">
        <v>29313</v>
      </c>
      <c r="T58" s="5">
        <v>57367</v>
      </c>
      <c r="U58" s="5">
        <v>84071</v>
      </c>
      <c r="V58" s="5">
        <v>134238</v>
      </c>
      <c r="W58" s="5">
        <v>156538</v>
      </c>
      <c r="X58" s="5"/>
      <c r="Y58" s="5"/>
      <c r="Z58" s="5"/>
      <c r="AA58" s="5"/>
      <c r="AB58" s="5"/>
      <c r="AC58" s="5"/>
      <c r="AD58" s="5"/>
      <c r="AE58" s="104" cm="1">
        <f t="array" ref="AE58">LOOKUP(2,1/(ISNUMBER(AF58:AQ58)),AF58:AQ58)</f>
        <v>-56538</v>
      </c>
      <c r="AF58" s="5">
        <v>-9313</v>
      </c>
      <c r="AG58" s="5">
        <v>-17367</v>
      </c>
      <c r="AH58" s="5">
        <v>-24071</v>
      </c>
      <c r="AI58" s="5">
        <v>-54238</v>
      </c>
      <c r="AJ58" s="5">
        <v>-56538</v>
      </c>
      <c r="AK58" s="5"/>
      <c r="AL58" s="5"/>
      <c r="AM58" s="5"/>
      <c r="AN58" s="5"/>
      <c r="AO58" s="5"/>
      <c r="AP58" s="5"/>
      <c r="AQ58" s="5"/>
    </row>
    <row r="59" spans="2:43" x14ac:dyDescent="0.35">
      <c r="B59" s="33" t="s">
        <v>72</v>
      </c>
      <c r="C59" s="24" t="b">
        <v>0</v>
      </c>
      <c r="D59" s="24" t="b">
        <v>1</v>
      </c>
      <c r="E59" s="104">
        <f t="shared" si="3"/>
        <v>458333.33333333337</v>
      </c>
      <c r="F59" s="5">
        <v>91666.666666666672</v>
      </c>
      <c r="G59" s="5">
        <v>183333.33333333334</v>
      </c>
      <c r="H59" s="5">
        <v>275000</v>
      </c>
      <c r="I59" s="5">
        <v>366666.66666666669</v>
      </c>
      <c r="J59" s="5">
        <v>458333.33333333337</v>
      </c>
      <c r="R59" s="104" cm="1">
        <f t="array" ref="R59">LOOKUP(2,1/(ISNUMBER(S59:AD59)),S59:AD59)</f>
        <v>482959</v>
      </c>
      <c r="S59" s="5">
        <v>47350</v>
      </c>
      <c r="T59" s="5">
        <v>136850</v>
      </c>
      <c r="U59" s="5">
        <v>265675</v>
      </c>
      <c r="V59" s="5">
        <v>320375</v>
      </c>
      <c r="W59" s="5">
        <v>482959</v>
      </c>
      <c r="X59" s="5"/>
      <c r="Y59" s="5"/>
      <c r="Z59" s="5"/>
      <c r="AA59" s="5"/>
      <c r="AB59" s="5"/>
      <c r="AC59" s="5"/>
      <c r="AD59" s="5"/>
      <c r="AE59" s="104" cm="1">
        <f t="array" ref="AE59">LOOKUP(2,1/(ISNUMBER(AF59:AQ59)),AF59:AQ59)</f>
        <v>-24625.666666666642</v>
      </c>
      <c r="AF59" s="5">
        <v>44316.666666666672</v>
      </c>
      <c r="AG59" s="5">
        <v>46483.333333333343</v>
      </c>
      <c r="AH59" s="5">
        <v>9325.0000000000146</v>
      </c>
      <c r="AI59" s="5">
        <v>46291.666666666686</v>
      </c>
      <c r="AJ59" s="5">
        <v>-24625.666666666642</v>
      </c>
      <c r="AK59" s="5"/>
      <c r="AL59" s="5"/>
      <c r="AM59" s="5"/>
      <c r="AN59" s="5"/>
      <c r="AO59" s="5"/>
      <c r="AP59" s="5"/>
      <c r="AQ59" s="5"/>
    </row>
    <row r="60" spans="2:43" x14ac:dyDescent="0.35">
      <c r="B60" s="33" t="s">
        <v>24</v>
      </c>
      <c r="C60" s="24" t="b">
        <v>0</v>
      </c>
      <c r="D60" s="24" t="b">
        <v>1</v>
      </c>
      <c r="E60" s="104">
        <f t="shared" si="3"/>
        <v>350000</v>
      </c>
      <c r="F60" s="5">
        <v>70000</v>
      </c>
      <c r="G60" s="5">
        <v>140000</v>
      </c>
      <c r="H60" s="5">
        <v>210000</v>
      </c>
      <c r="I60" s="5">
        <v>280000</v>
      </c>
      <c r="J60" s="5">
        <v>350000</v>
      </c>
      <c r="R60" s="104" cm="1">
        <f t="array" ref="R60">LOOKUP(2,1/(ISNUMBER(S60:AD60)),S60:AD60)</f>
        <v>273892</v>
      </c>
      <c r="S60" s="5">
        <v>53177</v>
      </c>
      <c r="T60" s="5">
        <v>65755</v>
      </c>
      <c r="U60" s="5">
        <v>117218</v>
      </c>
      <c r="V60" s="5">
        <v>177080</v>
      </c>
      <c r="W60" s="5">
        <v>273892</v>
      </c>
      <c r="X60" s="5"/>
      <c r="Y60" s="5"/>
      <c r="Z60" s="5"/>
      <c r="AA60" s="5"/>
      <c r="AB60" s="5"/>
      <c r="AC60" s="5"/>
      <c r="AD60" s="5"/>
      <c r="AE60" s="104" cm="1">
        <f t="array" ref="AE60">LOOKUP(2,1/(ISNUMBER(AF60:AQ60)),AF60:AQ60)</f>
        <v>76108</v>
      </c>
      <c r="AF60" s="5">
        <v>16823</v>
      </c>
      <c r="AG60" s="5">
        <v>74245</v>
      </c>
      <c r="AH60" s="5">
        <v>92782</v>
      </c>
      <c r="AI60" s="5">
        <v>102920</v>
      </c>
      <c r="AJ60" s="5">
        <v>76108</v>
      </c>
      <c r="AK60" s="5"/>
      <c r="AL60" s="5"/>
      <c r="AM60" s="5"/>
      <c r="AN60" s="5"/>
      <c r="AO60" s="5"/>
      <c r="AP60" s="5"/>
      <c r="AQ60" s="5"/>
    </row>
    <row r="61" spans="2:43" x14ac:dyDescent="0.35">
      <c r="B61" s="33" t="s">
        <v>42</v>
      </c>
      <c r="C61" s="24" t="b">
        <v>0</v>
      </c>
      <c r="D61" s="24" t="b">
        <v>1</v>
      </c>
      <c r="E61" s="104">
        <f t="shared" si="3"/>
        <v>8333.3333333333339</v>
      </c>
      <c r="F61" s="5">
        <v>1666.6666666666667</v>
      </c>
      <c r="G61" s="5">
        <v>3333.3333333333335</v>
      </c>
      <c r="H61" s="5">
        <v>5000</v>
      </c>
      <c r="I61" s="5">
        <v>6666.666666666667</v>
      </c>
      <c r="J61" s="5">
        <v>8333.3333333333339</v>
      </c>
      <c r="R61" s="104" cm="1">
        <f t="array" ref="R61">LOOKUP(2,1/(ISNUMBER(S61:AD61)),S61:AD61)</f>
        <v>4157</v>
      </c>
      <c r="S61" s="5">
        <v>0</v>
      </c>
      <c r="T61" s="5">
        <v>0</v>
      </c>
      <c r="U61" s="5">
        <v>0</v>
      </c>
      <c r="V61" s="5">
        <v>4157</v>
      </c>
      <c r="W61" s="5">
        <v>4157</v>
      </c>
      <c r="X61" s="5"/>
      <c r="Y61" s="5"/>
      <c r="Z61" s="5"/>
      <c r="AA61" s="5"/>
      <c r="AB61" s="5"/>
      <c r="AC61" s="5"/>
      <c r="AD61" s="5"/>
      <c r="AE61" s="104" cm="1">
        <f t="array" ref="AE61">LOOKUP(2,1/(ISNUMBER(AF61:AQ61)),AF61:AQ61)</f>
        <v>4176.3333333333339</v>
      </c>
      <c r="AF61" s="5">
        <v>1666.6666666666667</v>
      </c>
      <c r="AG61" s="5">
        <v>3333.3333333333335</v>
      </c>
      <c r="AH61" s="5">
        <v>5000</v>
      </c>
      <c r="AI61" s="5">
        <v>2509.666666666667</v>
      </c>
      <c r="AJ61" s="5">
        <v>4176.3333333333339</v>
      </c>
      <c r="AK61" s="5"/>
      <c r="AL61" s="5"/>
      <c r="AM61" s="5"/>
      <c r="AN61" s="5"/>
      <c r="AO61" s="5"/>
      <c r="AP61" s="5"/>
      <c r="AQ61" s="5"/>
    </row>
    <row r="62" spans="2:43" x14ac:dyDescent="0.35">
      <c r="B62" s="33" t="s">
        <v>26</v>
      </c>
      <c r="C62" s="24" t="b">
        <v>0</v>
      </c>
      <c r="D62" s="24" t="b">
        <v>1</v>
      </c>
      <c r="E62" s="104">
        <f t="shared" si="3"/>
        <v>79166.666666666672</v>
      </c>
      <c r="F62" s="5">
        <v>15833.333333333334</v>
      </c>
      <c r="G62" s="5">
        <v>31666.666666666668</v>
      </c>
      <c r="H62" s="5">
        <v>47500</v>
      </c>
      <c r="I62" s="5">
        <v>63333.333333333336</v>
      </c>
      <c r="J62" s="5">
        <v>79166.666666666672</v>
      </c>
      <c r="R62" s="104" cm="1">
        <f t="array" ref="R62">LOOKUP(2,1/(ISNUMBER(S62:AD62)),S62:AD62)</f>
        <v>39397</v>
      </c>
      <c r="S62" s="5">
        <v>0</v>
      </c>
      <c r="T62" s="5">
        <v>5444</v>
      </c>
      <c r="U62" s="5">
        <v>11864</v>
      </c>
      <c r="V62" s="5">
        <v>29041</v>
      </c>
      <c r="W62" s="5">
        <v>39397</v>
      </c>
      <c r="X62" s="5"/>
      <c r="Y62" s="5"/>
      <c r="Z62" s="5"/>
      <c r="AA62" s="5"/>
      <c r="AB62" s="5"/>
      <c r="AC62" s="5"/>
      <c r="AD62" s="5"/>
      <c r="AE62" s="104" cm="1">
        <f t="array" ref="AE62">LOOKUP(2,1/(ISNUMBER(AF62:AQ62)),AF62:AQ62)</f>
        <v>39769.666666666672</v>
      </c>
      <c r="AF62" s="5">
        <v>15833.333333333334</v>
      </c>
      <c r="AG62" s="5">
        <v>26222.666666666668</v>
      </c>
      <c r="AH62" s="5">
        <v>35636</v>
      </c>
      <c r="AI62" s="5">
        <v>34292.333333333336</v>
      </c>
      <c r="AJ62" s="5">
        <v>39769.666666666672</v>
      </c>
      <c r="AK62" s="5"/>
      <c r="AL62" s="5"/>
      <c r="AM62" s="5"/>
      <c r="AN62" s="5"/>
      <c r="AO62" s="5"/>
      <c r="AP62" s="5"/>
      <c r="AQ62" s="5"/>
    </row>
    <row r="63" spans="2:43" x14ac:dyDescent="0.35">
      <c r="B63" s="33" t="s">
        <v>37</v>
      </c>
      <c r="C63" s="24" t="b">
        <v>0</v>
      </c>
      <c r="D63" s="24" t="b">
        <v>1</v>
      </c>
      <c r="E63" s="104">
        <f t="shared" si="3"/>
        <v>20458333.333333332</v>
      </c>
      <c r="F63" s="5">
        <v>4091666.6666666665</v>
      </c>
      <c r="G63" s="5">
        <v>8183333.333333333</v>
      </c>
      <c r="H63" s="5">
        <v>12275000</v>
      </c>
      <c r="I63" s="5">
        <v>16366666.666666666</v>
      </c>
      <c r="J63" s="5">
        <v>20458333.333333332</v>
      </c>
      <c r="R63" s="104" cm="1">
        <f t="array" ref="R63">LOOKUP(2,1/(ISNUMBER(S63:AD63)),S63:AD63)</f>
        <v>28038931.700000003</v>
      </c>
      <c r="S63" s="5">
        <v>4145832.8800000004</v>
      </c>
      <c r="T63" s="5">
        <v>8754374.0700000003</v>
      </c>
      <c r="U63" s="5">
        <v>16953778.57</v>
      </c>
      <c r="V63" s="5">
        <v>22210501.300000001</v>
      </c>
      <c r="W63" s="5">
        <v>28038931.700000003</v>
      </c>
      <c r="X63" s="5"/>
      <c r="Y63" s="5"/>
      <c r="Z63" s="5"/>
      <c r="AA63" s="5"/>
      <c r="AB63" s="5"/>
      <c r="AC63" s="5"/>
      <c r="AD63" s="5"/>
      <c r="AE63" s="104" cm="1">
        <f t="array" ref="AE63">LOOKUP(2,1/(ISNUMBER(AF63:AQ63)),AF63:AQ63)</f>
        <v>-7580598.366666669</v>
      </c>
      <c r="AF63" s="5">
        <v>-54166.213333333842</v>
      </c>
      <c r="AG63" s="5">
        <v>-571040.73666666681</v>
      </c>
      <c r="AH63" s="5">
        <v>-4678778.57</v>
      </c>
      <c r="AI63" s="5">
        <v>-5843834.6333333347</v>
      </c>
      <c r="AJ63" s="5">
        <v>-7580598.366666669</v>
      </c>
      <c r="AK63" s="5"/>
      <c r="AL63" s="5"/>
      <c r="AM63" s="5"/>
      <c r="AN63" s="5"/>
      <c r="AO63" s="5"/>
      <c r="AP63" s="5"/>
      <c r="AQ63" s="5"/>
    </row>
    <row r="64" spans="2:43" x14ac:dyDescent="0.35">
      <c r="B64" s="32" t="s">
        <v>73</v>
      </c>
      <c r="C64" s="23" t="b">
        <v>0</v>
      </c>
      <c r="D64" s="23" t="b">
        <v>1</v>
      </c>
      <c r="E64" s="103">
        <f t="shared" si="3"/>
        <v>366666.66666666663</v>
      </c>
      <c r="F64" s="4">
        <v>73333.333333333328</v>
      </c>
      <c r="G64" s="4">
        <v>146666.66666666666</v>
      </c>
      <c r="H64" s="4">
        <v>220000</v>
      </c>
      <c r="I64" s="4">
        <v>293333.33333333331</v>
      </c>
      <c r="J64" s="4">
        <v>366666.66666666663</v>
      </c>
      <c r="K64" s="4"/>
      <c r="L64" s="4"/>
      <c r="M64" s="4"/>
      <c r="N64" s="4"/>
      <c r="O64" s="4"/>
      <c r="P64" s="4"/>
      <c r="Q64" s="4"/>
      <c r="R64" s="103" cm="1">
        <f t="array" ref="R64">LOOKUP(2,1/(ISNUMBER(S64:AD64)),S64:AD64)</f>
        <v>179750.40000000002</v>
      </c>
      <c r="S64" s="4">
        <v>29777.600000000002</v>
      </c>
      <c r="T64" s="4">
        <v>57669.600000000006</v>
      </c>
      <c r="U64" s="4">
        <v>150795.20000000001</v>
      </c>
      <c r="V64" s="4">
        <v>179750.40000000002</v>
      </c>
      <c r="W64" s="4">
        <v>179750.40000000002</v>
      </c>
      <c r="X64" s="4"/>
      <c r="Y64" s="4"/>
      <c r="Z64" s="4"/>
      <c r="AA64" s="4"/>
      <c r="AB64" s="4"/>
      <c r="AC64" s="4"/>
      <c r="AD64" s="4"/>
      <c r="AE64" s="103" cm="1">
        <f t="array" ref="AE64">LOOKUP(2,1/(ISNUMBER(AF64:AQ64)),AF64:AQ64)</f>
        <v>186916.26666666663</v>
      </c>
      <c r="AF64" s="6">
        <v>43555.733333333323</v>
      </c>
      <c r="AG64" s="6">
        <v>88997.066666666651</v>
      </c>
      <c r="AH64" s="4">
        <v>69204.799999999974</v>
      </c>
      <c r="AI64" s="4">
        <v>113582.93333333331</v>
      </c>
      <c r="AJ64" s="4">
        <v>186916.26666666663</v>
      </c>
      <c r="AK64" s="4"/>
      <c r="AL64" s="4"/>
      <c r="AM64" s="4"/>
      <c r="AN64" s="4"/>
      <c r="AO64" s="4"/>
      <c r="AP64" s="4"/>
      <c r="AQ64" s="4"/>
    </row>
    <row r="65" spans="2:43" x14ac:dyDescent="0.35">
      <c r="B65" s="33" t="s">
        <v>7</v>
      </c>
      <c r="C65" s="24" t="b">
        <v>0</v>
      </c>
      <c r="D65" s="24" t="b">
        <v>1</v>
      </c>
      <c r="E65" s="104">
        <f t="shared" si="3"/>
        <v>208333.33333333331</v>
      </c>
      <c r="F65" s="5">
        <v>41666.666666666664</v>
      </c>
      <c r="G65" s="5">
        <v>83333.333333333328</v>
      </c>
      <c r="H65" s="5">
        <v>125000</v>
      </c>
      <c r="I65" s="5">
        <v>166666.66666666666</v>
      </c>
      <c r="J65" s="5">
        <v>208333.33333333331</v>
      </c>
      <c r="R65" s="104" cm="1">
        <f t="array" ref="R65">LOOKUP(2,1/(ISNUMBER(S65:AD65)),S65:AD65)</f>
        <v>112126.40000000001</v>
      </c>
      <c r="S65" s="5">
        <v>29777.600000000002</v>
      </c>
      <c r="T65" s="5">
        <v>57669.600000000006</v>
      </c>
      <c r="U65" s="5">
        <v>83171.200000000012</v>
      </c>
      <c r="V65" s="5">
        <v>112126.40000000001</v>
      </c>
      <c r="W65" s="5">
        <v>112126.40000000001</v>
      </c>
      <c r="X65" s="5"/>
      <c r="Y65" s="5"/>
      <c r="Z65" s="5"/>
      <c r="AA65" s="5"/>
      <c r="AB65" s="5"/>
      <c r="AC65" s="5"/>
      <c r="AD65" s="5"/>
      <c r="AE65" s="104" cm="1">
        <f t="array" ref="AE65">LOOKUP(2,1/(ISNUMBER(AF65:AQ65)),AF65:AQ65)</f>
        <v>96206.93333333332</v>
      </c>
      <c r="AF65" s="5">
        <v>11889.066666666662</v>
      </c>
      <c r="AG65" s="5">
        <v>25663.733333333326</v>
      </c>
      <c r="AH65" s="5">
        <v>41828.799999999988</v>
      </c>
      <c r="AI65" s="5">
        <v>54540.266666666648</v>
      </c>
      <c r="AJ65" s="5">
        <v>96206.93333333332</v>
      </c>
      <c r="AK65" s="5"/>
      <c r="AL65" s="5"/>
      <c r="AM65" s="5"/>
      <c r="AN65" s="5"/>
      <c r="AO65" s="5"/>
      <c r="AP65" s="5"/>
      <c r="AQ65" s="5"/>
    </row>
    <row r="66" spans="2:43" x14ac:dyDescent="0.35">
      <c r="B66" s="33" t="s">
        <v>54</v>
      </c>
      <c r="C66" s="24" t="b">
        <v>0</v>
      </c>
      <c r="D66" s="24" t="b">
        <v>1</v>
      </c>
      <c r="E66" s="104">
        <f t="shared" si="3"/>
        <v>95833.333333333343</v>
      </c>
      <c r="F66" s="5">
        <v>19166.666666666668</v>
      </c>
      <c r="G66" s="5">
        <v>38333.333333333336</v>
      </c>
      <c r="H66" s="5">
        <v>57500</v>
      </c>
      <c r="I66" s="5">
        <v>76666.666666666672</v>
      </c>
      <c r="J66" s="5">
        <v>95833.333333333343</v>
      </c>
      <c r="R66" s="104" cm="1">
        <f t="array" ref="R66">LOOKUP(2,1/(ISNUMBER(S66:AD66)),S66:AD66)</f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/>
      <c r="Y66" s="5"/>
      <c r="Z66" s="5"/>
      <c r="AA66" s="5"/>
      <c r="AB66" s="5"/>
      <c r="AC66" s="5"/>
      <c r="AD66" s="5"/>
      <c r="AE66" s="104" cm="1">
        <f t="array" ref="AE66">LOOKUP(2,1/(ISNUMBER(AF66:AQ66)),AF66:AQ66)</f>
        <v>95833.333333333343</v>
      </c>
      <c r="AF66" s="5">
        <v>19166.666666666668</v>
      </c>
      <c r="AG66" s="5">
        <v>38333.333333333336</v>
      </c>
      <c r="AH66" s="5">
        <v>57500</v>
      </c>
      <c r="AI66" s="5">
        <v>76666.666666666672</v>
      </c>
      <c r="AJ66" s="5">
        <v>95833.333333333343</v>
      </c>
      <c r="AK66" s="5"/>
      <c r="AL66" s="5"/>
      <c r="AM66" s="5"/>
      <c r="AN66" s="5"/>
      <c r="AO66" s="5"/>
      <c r="AP66" s="5"/>
      <c r="AQ66" s="5"/>
    </row>
    <row r="67" spans="2:43" x14ac:dyDescent="0.35">
      <c r="B67" s="33" t="s">
        <v>55</v>
      </c>
      <c r="C67" s="24" t="b">
        <v>0</v>
      </c>
      <c r="D67" s="24" t="b">
        <v>1</v>
      </c>
      <c r="E67" s="104">
        <f t="shared" si="3"/>
        <v>62500</v>
      </c>
      <c r="F67" s="5">
        <v>12500</v>
      </c>
      <c r="G67" s="5">
        <v>25000</v>
      </c>
      <c r="H67" s="5">
        <v>37500</v>
      </c>
      <c r="I67" s="5">
        <v>50000</v>
      </c>
      <c r="J67" s="5">
        <v>62500</v>
      </c>
      <c r="R67" s="104" cm="1">
        <f t="array" ref="R67">LOOKUP(2,1/(ISNUMBER(S67:AD67)),S67:AD67)</f>
        <v>67624</v>
      </c>
      <c r="S67" s="5">
        <v>0</v>
      </c>
      <c r="T67" s="5">
        <v>0</v>
      </c>
      <c r="U67" s="5">
        <v>67624</v>
      </c>
      <c r="V67" s="5">
        <v>67624</v>
      </c>
      <c r="W67" s="5">
        <v>67624</v>
      </c>
      <c r="X67" s="5"/>
      <c r="Y67" s="5"/>
      <c r="Z67" s="5"/>
      <c r="AA67" s="5"/>
      <c r="AB67" s="5"/>
      <c r="AC67" s="5"/>
      <c r="AD67" s="5"/>
      <c r="AE67" s="104" cm="1">
        <f t="array" ref="AE67">LOOKUP(2,1/(ISNUMBER(AF67:AQ67)),AF67:AQ67)</f>
        <v>-5124</v>
      </c>
      <c r="AF67" s="5">
        <v>12500</v>
      </c>
      <c r="AG67" s="5">
        <v>25000</v>
      </c>
      <c r="AH67" s="5">
        <v>-30124</v>
      </c>
      <c r="AI67" s="5">
        <v>-17624</v>
      </c>
      <c r="AJ67" s="5">
        <v>-5124</v>
      </c>
      <c r="AK67" s="5"/>
      <c r="AL67" s="5"/>
      <c r="AM67" s="5"/>
      <c r="AN67" s="5"/>
      <c r="AO67" s="5"/>
      <c r="AP67" s="5"/>
      <c r="AQ67" s="5"/>
    </row>
    <row r="68" spans="2:43" x14ac:dyDescent="0.35">
      <c r="B68" s="32" t="s">
        <v>12</v>
      </c>
      <c r="C68" s="23" t="b">
        <v>0</v>
      </c>
      <c r="D68" s="23" t="b">
        <v>1</v>
      </c>
      <c r="E68" s="103">
        <f t="shared" si="3"/>
        <v>350000</v>
      </c>
      <c r="F68" s="4">
        <v>70000</v>
      </c>
      <c r="G68" s="4">
        <v>140000</v>
      </c>
      <c r="H68" s="4">
        <v>210000</v>
      </c>
      <c r="I68" s="4">
        <v>280000</v>
      </c>
      <c r="J68" s="4">
        <v>350000</v>
      </c>
      <c r="K68" s="4"/>
      <c r="L68" s="4"/>
      <c r="M68" s="4"/>
      <c r="N68" s="4"/>
      <c r="O68" s="4"/>
      <c r="P68" s="4"/>
      <c r="Q68" s="4"/>
      <c r="R68" s="103" cm="1">
        <f t="array" ref="R68">LOOKUP(2,1/(ISNUMBER(S68:AD68)),S68:AD68)</f>
        <v>240444</v>
      </c>
      <c r="S68" s="4">
        <v>53132</v>
      </c>
      <c r="T68" s="4">
        <v>97581</v>
      </c>
      <c r="U68" s="4">
        <v>152520</v>
      </c>
      <c r="V68" s="4">
        <v>198411</v>
      </c>
      <c r="W68" s="4">
        <v>240444</v>
      </c>
      <c r="X68" s="4"/>
      <c r="Y68" s="4"/>
      <c r="Z68" s="4"/>
      <c r="AA68" s="4"/>
      <c r="AB68" s="4"/>
      <c r="AC68" s="4"/>
      <c r="AD68" s="4"/>
      <c r="AE68" s="103" cm="1">
        <f t="array" ref="AE68">LOOKUP(2,1/(ISNUMBER(AF68:AQ68)),AF68:AQ68)</f>
        <v>109556</v>
      </c>
      <c r="AF68" s="6">
        <v>16868</v>
      </c>
      <c r="AG68" s="6">
        <v>42419</v>
      </c>
      <c r="AH68" s="4">
        <v>57480</v>
      </c>
      <c r="AI68" s="4">
        <v>81589</v>
      </c>
      <c r="AJ68" s="4">
        <v>109556</v>
      </c>
      <c r="AK68" s="4"/>
      <c r="AL68" s="4"/>
      <c r="AM68" s="4"/>
      <c r="AN68" s="4"/>
      <c r="AO68" s="4"/>
      <c r="AP68" s="4"/>
      <c r="AQ68" s="4"/>
    </row>
    <row r="69" spans="2:43" x14ac:dyDescent="0.35">
      <c r="B69" s="32" t="s">
        <v>74</v>
      </c>
      <c r="C69" s="23" t="b">
        <v>0</v>
      </c>
      <c r="D69" s="23" t="b">
        <v>1</v>
      </c>
      <c r="E69" s="103">
        <f t="shared" si="3"/>
        <v>229166.66666666669</v>
      </c>
      <c r="F69" s="4">
        <v>45833.333333333336</v>
      </c>
      <c r="G69" s="4">
        <v>91666.666666666672</v>
      </c>
      <c r="H69" s="4">
        <v>137500</v>
      </c>
      <c r="I69" s="4">
        <v>183333.33333333334</v>
      </c>
      <c r="J69" s="4">
        <v>229166.66666666669</v>
      </c>
      <c r="K69" s="4"/>
      <c r="L69" s="4"/>
      <c r="M69" s="4"/>
      <c r="N69" s="4"/>
      <c r="O69" s="4"/>
      <c r="P69" s="4"/>
      <c r="Q69" s="4"/>
      <c r="R69" s="103" cm="1">
        <f t="array" ref="R69">LOOKUP(2,1/(ISNUMBER(S69:AD69)),S69:AD69)</f>
        <v>176713</v>
      </c>
      <c r="S69" s="4">
        <v>47118</v>
      </c>
      <c r="T69" s="4">
        <v>62763</v>
      </c>
      <c r="U69" s="4">
        <v>95906</v>
      </c>
      <c r="V69" s="4">
        <v>119112</v>
      </c>
      <c r="W69" s="4">
        <v>176713</v>
      </c>
      <c r="X69" s="4"/>
      <c r="Y69" s="4"/>
      <c r="Z69" s="4"/>
      <c r="AA69" s="4"/>
      <c r="AB69" s="4"/>
      <c r="AC69" s="4"/>
      <c r="AD69" s="4"/>
      <c r="AE69" s="103" cm="1">
        <f t="array" ref="AE69">LOOKUP(2,1/(ISNUMBER(AF69:AQ69)),AF69:AQ69)</f>
        <v>52453.666666666679</v>
      </c>
      <c r="AF69" s="6">
        <v>-1284.6666666666642</v>
      </c>
      <c r="AG69" s="6">
        <v>28903.666666666672</v>
      </c>
      <c r="AH69" s="4">
        <v>41594.000000000007</v>
      </c>
      <c r="AI69" s="4">
        <v>64221.333333333343</v>
      </c>
      <c r="AJ69" s="4">
        <v>52453.666666666679</v>
      </c>
      <c r="AK69" s="4"/>
      <c r="AL69" s="4"/>
      <c r="AM69" s="4"/>
      <c r="AN69" s="4"/>
      <c r="AO69" s="4"/>
      <c r="AP69" s="4"/>
      <c r="AQ69" s="4"/>
    </row>
    <row r="70" spans="2:43" x14ac:dyDescent="0.35">
      <c r="B70" s="32" t="s">
        <v>58</v>
      </c>
      <c r="C70" s="23" t="b">
        <v>0</v>
      </c>
      <c r="D70" s="23" t="b">
        <v>1</v>
      </c>
      <c r="E70" s="103">
        <f t="shared" si="3"/>
        <v>7447916.666666666</v>
      </c>
      <c r="F70" s="4">
        <v>1489583.3333333333</v>
      </c>
      <c r="G70" s="4">
        <v>2979166.6666666665</v>
      </c>
      <c r="H70" s="4">
        <v>4468750</v>
      </c>
      <c r="I70" s="4">
        <v>5958333.333333333</v>
      </c>
      <c r="J70" s="4">
        <v>7447916.666666666</v>
      </c>
      <c r="K70" s="4"/>
      <c r="L70" s="4"/>
      <c r="M70" s="4"/>
      <c r="N70" s="4"/>
      <c r="O70" s="4"/>
      <c r="P70" s="4"/>
      <c r="Q70" s="4"/>
      <c r="R70" s="103" cm="1">
        <f t="array" ref="R70">LOOKUP(2,1/(ISNUMBER(S70:AD70)),S70:AD70)</f>
        <v>7533847</v>
      </c>
      <c r="S70" s="4">
        <v>1011170</v>
      </c>
      <c r="T70" s="4">
        <v>1943134</v>
      </c>
      <c r="U70" s="4">
        <v>3305906</v>
      </c>
      <c r="V70" s="4">
        <v>5613761</v>
      </c>
      <c r="W70" s="4">
        <v>7533847</v>
      </c>
      <c r="X70" s="4"/>
      <c r="Y70" s="4"/>
      <c r="Z70" s="4"/>
      <c r="AA70" s="4"/>
      <c r="AB70" s="4"/>
      <c r="AC70" s="4"/>
      <c r="AD70" s="4"/>
      <c r="AE70" s="103" cm="1">
        <f t="array" ref="AE70">LOOKUP(2,1/(ISNUMBER(AF70:AQ70)),AF70:AQ70)</f>
        <v>-85930.333333333721</v>
      </c>
      <c r="AF70" s="6">
        <v>478413.33333333326</v>
      </c>
      <c r="AG70" s="6">
        <v>1036032.6666666665</v>
      </c>
      <c r="AH70" s="4">
        <v>1162843.9999999998</v>
      </c>
      <c r="AI70" s="4">
        <v>344572.33333333302</v>
      </c>
      <c r="AJ70" s="4">
        <v>-85930.333333333721</v>
      </c>
      <c r="AK70" s="4"/>
      <c r="AL70" s="4"/>
      <c r="AM70" s="4"/>
      <c r="AN70" s="4"/>
      <c r="AO70" s="4"/>
      <c r="AP70" s="4"/>
      <c r="AQ70" s="4"/>
    </row>
    <row r="71" spans="2:43" x14ac:dyDescent="0.35">
      <c r="B71" s="33" t="s">
        <v>31</v>
      </c>
      <c r="C71" s="24" t="b">
        <v>0</v>
      </c>
      <c r="D71" s="24" t="b">
        <v>1</v>
      </c>
      <c r="E71" s="104">
        <f t="shared" ref="E71:E79" si="4">MAX(F71:Q71)</f>
        <v>1208333.3333333333</v>
      </c>
      <c r="F71" s="5">
        <v>241666.66666666666</v>
      </c>
      <c r="G71" s="5">
        <v>483333.33333333331</v>
      </c>
      <c r="H71" s="5">
        <v>725000</v>
      </c>
      <c r="I71" s="5">
        <v>966666.66666666663</v>
      </c>
      <c r="J71" s="5">
        <v>1208333.3333333333</v>
      </c>
      <c r="R71" s="104" cm="1">
        <f t="array" ref="R71">LOOKUP(2,1/(ISNUMBER(S71:AD71)),S71:AD71)</f>
        <v>668463</v>
      </c>
      <c r="S71" s="5">
        <v>89713</v>
      </c>
      <c r="T71" s="5">
        <v>157545</v>
      </c>
      <c r="U71" s="5">
        <v>324555</v>
      </c>
      <c r="V71" s="5">
        <v>566475</v>
      </c>
      <c r="W71" s="5">
        <v>668463</v>
      </c>
      <c r="X71" s="5"/>
      <c r="Y71" s="5"/>
      <c r="Z71" s="5"/>
      <c r="AA71" s="5"/>
      <c r="AB71" s="5"/>
      <c r="AC71" s="5"/>
      <c r="AD71" s="5"/>
      <c r="AE71" s="104" cm="1">
        <f t="array" ref="AE71">LOOKUP(2,1/(ISNUMBER(AF71:AQ71)),AF71:AQ71)</f>
        <v>539870.33333333326</v>
      </c>
      <c r="AF71" s="5">
        <v>151953.66666666666</v>
      </c>
      <c r="AG71" s="5">
        <v>325788.33333333331</v>
      </c>
      <c r="AH71" s="5">
        <v>400445</v>
      </c>
      <c r="AI71" s="5">
        <v>400191.66666666663</v>
      </c>
      <c r="AJ71" s="5">
        <v>539870.33333333326</v>
      </c>
      <c r="AK71" s="5"/>
      <c r="AL71" s="5"/>
      <c r="AM71" s="5"/>
      <c r="AN71" s="5"/>
      <c r="AO71" s="5"/>
      <c r="AP71" s="5"/>
      <c r="AQ71" s="5"/>
    </row>
    <row r="72" spans="2:43" x14ac:dyDescent="0.35">
      <c r="B72" s="33" t="s">
        <v>20</v>
      </c>
      <c r="C72" s="24" t="b">
        <v>0</v>
      </c>
      <c r="D72" s="24" t="b">
        <v>1</v>
      </c>
      <c r="E72" s="104">
        <f t="shared" si="4"/>
        <v>4583333.333333333</v>
      </c>
      <c r="F72" s="5">
        <v>916666.66666666663</v>
      </c>
      <c r="G72" s="5">
        <v>1833333.3333333333</v>
      </c>
      <c r="H72" s="5">
        <v>2750000</v>
      </c>
      <c r="I72" s="5">
        <v>3666666.6666666665</v>
      </c>
      <c r="J72" s="5">
        <v>4583333.333333333</v>
      </c>
      <c r="R72" s="104" cm="1">
        <f t="array" ref="R72">LOOKUP(2,1/(ISNUMBER(S72:AD72)),S72:AD72)</f>
        <v>5876922</v>
      </c>
      <c r="S72" s="5">
        <v>706962</v>
      </c>
      <c r="T72" s="5">
        <v>1436013</v>
      </c>
      <c r="U72" s="5">
        <v>2436372</v>
      </c>
      <c r="V72" s="5">
        <v>4273385</v>
      </c>
      <c r="W72" s="5">
        <v>5876922</v>
      </c>
      <c r="X72" s="5"/>
      <c r="Y72" s="5"/>
      <c r="Z72" s="5"/>
      <c r="AA72" s="5"/>
      <c r="AB72" s="5"/>
      <c r="AC72" s="5"/>
      <c r="AD72" s="5"/>
      <c r="AE72" s="104" cm="1">
        <f t="array" ref="AE72">LOOKUP(2,1/(ISNUMBER(AF72:AQ72)),AF72:AQ72)</f>
        <v>-1293588.666666667</v>
      </c>
      <c r="AF72" s="5">
        <v>209704.66666666663</v>
      </c>
      <c r="AG72" s="5">
        <v>397320.33333333326</v>
      </c>
      <c r="AH72" s="5">
        <v>313627.99999999988</v>
      </c>
      <c r="AI72" s="5">
        <v>-606718.33333333349</v>
      </c>
      <c r="AJ72" s="5">
        <v>-1293588.666666667</v>
      </c>
      <c r="AK72" s="5"/>
      <c r="AL72" s="5"/>
      <c r="AM72" s="5"/>
      <c r="AN72" s="5"/>
      <c r="AO72" s="5"/>
      <c r="AP72" s="5"/>
      <c r="AQ72" s="5"/>
    </row>
    <row r="73" spans="2:43" x14ac:dyDescent="0.35">
      <c r="B73" s="33" t="s">
        <v>21</v>
      </c>
      <c r="C73" s="24" t="b">
        <v>0</v>
      </c>
      <c r="D73" s="24" t="b">
        <v>1</v>
      </c>
      <c r="E73" s="104">
        <f t="shared" si="4"/>
        <v>1041666.6666666667</v>
      </c>
      <c r="F73" s="5">
        <v>208333.33333333334</v>
      </c>
      <c r="G73" s="5">
        <v>416666.66666666669</v>
      </c>
      <c r="H73" s="5">
        <v>625000</v>
      </c>
      <c r="I73" s="5">
        <v>833333.33333333337</v>
      </c>
      <c r="J73" s="5">
        <v>1041666.6666666667</v>
      </c>
      <c r="R73" s="104" cm="1">
        <f t="array" ref="R73">LOOKUP(2,1/(ISNUMBER(S73:AD73)),S73:AD73)</f>
        <v>602725</v>
      </c>
      <c r="S73" s="5">
        <v>123620</v>
      </c>
      <c r="T73" s="5">
        <v>249395</v>
      </c>
      <c r="U73" s="5">
        <v>353875</v>
      </c>
      <c r="V73" s="5">
        <v>471355</v>
      </c>
      <c r="W73" s="5">
        <v>602725</v>
      </c>
      <c r="X73" s="5"/>
      <c r="Y73" s="5"/>
      <c r="Z73" s="5"/>
      <c r="AA73" s="5"/>
      <c r="AB73" s="5"/>
      <c r="AC73" s="5"/>
      <c r="AD73" s="5"/>
      <c r="AE73" s="104" cm="1">
        <f t="array" ref="AE73">LOOKUP(2,1/(ISNUMBER(AF73:AQ73)),AF73:AQ73)</f>
        <v>438941.66666666674</v>
      </c>
      <c r="AF73" s="5">
        <v>84713.333333333343</v>
      </c>
      <c r="AG73" s="5">
        <v>167271.66666666669</v>
      </c>
      <c r="AH73" s="5">
        <v>271125</v>
      </c>
      <c r="AI73" s="5">
        <v>361978.33333333337</v>
      </c>
      <c r="AJ73" s="5">
        <v>438941.66666666674</v>
      </c>
      <c r="AK73" s="5"/>
      <c r="AL73" s="5"/>
      <c r="AM73" s="5"/>
      <c r="AN73" s="5"/>
      <c r="AO73" s="5"/>
      <c r="AP73" s="5"/>
      <c r="AQ73" s="5"/>
    </row>
    <row r="74" spans="2:43" x14ac:dyDescent="0.35">
      <c r="B74" s="33" t="s">
        <v>36</v>
      </c>
      <c r="C74" s="24" t="b">
        <v>0</v>
      </c>
      <c r="D74" s="24" t="b">
        <v>1</v>
      </c>
      <c r="E74" s="104">
        <f t="shared" si="4"/>
        <v>60416.666666666672</v>
      </c>
      <c r="F74" s="5">
        <v>12083.333333333334</v>
      </c>
      <c r="G74" s="5">
        <v>24166.666666666668</v>
      </c>
      <c r="H74" s="5">
        <v>36250</v>
      </c>
      <c r="I74" s="5">
        <v>48333.333333333336</v>
      </c>
      <c r="J74" s="5">
        <v>60416.666666666672</v>
      </c>
      <c r="R74" s="104" cm="1">
        <f t="array" ref="R74">LOOKUP(2,1/(ISNUMBER(S74:AD74)),S74:AD74)</f>
        <v>37457</v>
      </c>
      <c r="S74" s="5">
        <v>0</v>
      </c>
      <c r="T74" s="5">
        <v>9306</v>
      </c>
      <c r="U74" s="5">
        <v>18641</v>
      </c>
      <c r="V74" s="5">
        <v>27947</v>
      </c>
      <c r="W74" s="5">
        <v>37457</v>
      </c>
      <c r="X74" s="5"/>
      <c r="Y74" s="5"/>
      <c r="Z74" s="5"/>
      <c r="AA74" s="5"/>
      <c r="AB74" s="5"/>
      <c r="AC74" s="5"/>
      <c r="AD74" s="5"/>
      <c r="AE74" s="104" cm="1">
        <f t="array" ref="AE74">LOOKUP(2,1/(ISNUMBER(AF74:AQ74)),AF74:AQ74)</f>
        <v>22959.666666666672</v>
      </c>
      <c r="AF74" s="5">
        <v>12083.333333333334</v>
      </c>
      <c r="AG74" s="5">
        <v>14860.666666666668</v>
      </c>
      <c r="AH74" s="5">
        <v>17609</v>
      </c>
      <c r="AI74" s="5">
        <v>20386.333333333336</v>
      </c>
      <c r="AJ74" s="5">
        <v>22959.666666666672</v>
      </c>
      <c r="AK74" s="5"/>
      <c r="AL74" s="5"/>
      <c r="AM74" s="5"/>
      <c r="AN74" s="5"/>
      <c r="AO74" s="5"/>
      <c r="AP74" s="5"/>
      <c r="AQ74" s="5"/>
    </row>
    <row r="75" spans="2:43" x14ac:dyDescent="0.35">
      <c r="B75" s="33" t="s">
        <v>75</v>
      </c>
      <c r="C75" s="24" t="b">
        <v>0</v>
      </c>
      <c r="D75" s="24" t="b">
        <v>1</v>
      </c>
      <c r="E75" s="104">
        <f t="shared" si="4"/>
        <v>325000</v>
      </c>
      <c r="F75" s="5">
        <v>65000</v>
      </c>
      <c r="G75" s="5">
        <v>130000</v>
      </c>
      <c r="H75" s="5">
        <v>195000</v>
      </c>
      <c r="I75" s="5">
        <v>260000</v>
      </c>
      <c r="J75" s="5">
        <v>325000</v>
      </c>
      <c r="R75" s="104" cm="1">
        <f t="array" ref="R75">LOOKUP(2,1/(ISNUMBER(S75:AD75)),S75:AD75)</f>
        <v>60903</v>
      </c>
      <c r="S75" s="5">
        <v>53500</v>
      </c>
      <c r="T75" s="5">
        <v>53500</v>
      </c>
      <c r="U75" s="5">
        <v>59203</v>
      </c>
      <c r="V75" s="5">
        <v>59763</v>
      </c>
      <c r="W75" s="5">
        <v>60903</v>
      </c>
      <c r="X75" s="5"/>
      <c r="Y75" s="5"/>
      <c r="Z75" s="5"/>
      <c r="AA75" s="5"/>
      <c r="AB75" s="5"/>
      <c r="AC75" s="5"/>
      <c r="AD75" s="5"/>
      <c r="AE75" s="104" cm="1">
        <f t="array" ref="AE75">LOOKUP(2,1/(ISNUMBER(AF75:AQ75)),AF75:AQ75)</f>
        <v>264097</v>
      </c>
      <c r="AF75" s="5">
        <v>11500</v>
      </c>
      <c r="AG75" s="5">
        <v>76500</v>
      </c>
      <c r="AH75" s="5">
        <v>135797</v>
      </c>
      <c r="AI75" s="5">
        <v>200237</v>
      </c>
      <c r="AJ75" s="5">
        <v>264097</v>
      </c>
      <c r="AK75" s="5"/>
      <c r="AL75" s="5"/>
      <c r="AM75" s="5"/>
      <c r="AN75" s="5"/>
      <c r="AO75" s="5"/>
      <c r="AP75" s="5"/>
      <c r="AQ75" s="5"/>
    </row>
    <row r="76" spans="2:43" x14ac:dyDescent="0.35">
      <c r="B76" s="33" t="s">
        <v>45</v>
      </c>
      <c r="C76" s="24" t="b">
        <v>0</v>
      </c>
      <c r="D76" s="24" t="b">
        <v>1</v>
      </c>
      <c r="E76" s="104">
        <f t="shared" si="4"/>
        <v>229166.66666666669</v>
      </c>
      <c r="F76" s="5">
        <v>45833.333333333336</v>
      </c>
      <c r="G76" s="5">
        <v>91666.666666666672</v>
      </c>
      <c r="H76" s="5">
        <v>137500</v>
      </c>
      <c r="I76" s="5">
        <v>183333.33333333334</v>
      </c>
      <c r="J76" s="5">
        <v>229166.66666666669</v>
      </c>
      <c r="R76" s="104" cm="1">
        <f t="array" ref="R76">LOOKUP(2,1/(ISNUMBER(S76:AD76)),S76:AD76)</f>
        <v>287377</v>
      </c>
      <c r="S76" s="5">
        <v>37375</v>
      </c>
      <c r="T76" s="5">
        <v>37375</v>
      </c>
      <c r="U76" s="5">
        <v>113260</v>
      </c>
      <c r="V76" s="5">
        <v>214836</v>
      </c>
      <c r="W76" s="5">
        <v>287377</v>
      </c>
      <c r="X76" s="5"/>
      <c r="Y76" s="5"/>
      <c r="Z76" s="5"/>
      <c r="AA76" s="5"/>
      <c r="AB76" s="5"/>
      <c r="AC76" s="5"/>
      <c r="AD76" s="5"/>
      <c r="AE76" s="104" cm="1">
        <f t="array" ref="AE76">LOOKUP(2,1/(ISNUMBER(AF76:AQ76)),AF76:AQ76)</f>
        <v>-58210.333333333321</v>
      </c>
      <c r="AF76" s="5">
        <v>8458.3333333333358</v>
      </c>
      <c r="AG76" s="5">
        <v>54291.666666666672</v>
      </c>
      <c r="AH76" s="5">
        <v>24240.000000000007</v>
      </c>
      <c r="AI76" s="5">
        <v>-31502.666666666657</v>
      </c>
      <c r="AJ76" s="5">
        <v>-58210.333333333321</v>
      </c>
      <c r="AK76" s="5"/>
      <c r="AL76" s="5"/>
      <c r="AM76" s="5"/>
      <c r="AN76" s="5"/>
      <c r="AO76" s="5"/>
      <c r="AP76" s="5"/>
      <c r="AQ76" s="5"/>
    </row>
    <row r="77" spans="2:43" x14ac:dyDescent="0.35">
      <c r="B77" s="32" t="s">
        <v>76</v>
      </c>
      <c r="C77" s="23" t="b">
        <v>0</v>
      </c>
      <c r="D77" s="23" t="b">
        <v>1</v>
      </c>
      <c r="E77" s="103">
        <f t="shared" si="4"/>
        <v>833333.33333333326</v>
      </c>
      <c r="F77" s="4">
        <v>166666.66666666666</v>
      </c>
      <c r="G77" s="4">
        <v>333333.33333333331</v>
      </c>
      <c r="H77" s="4">
        <v>500000</v>
      </c>
      <c r="I77" s="4">
        <v>666666.66666666663</v>
      </c>
      <c r="J77" s="4">
        <v>833333.33333333326</v>
      </c>
      <c r="K77" s="4"/>
      <c r="L77" s="4"/>
      <c r="M77" s="4"/>
      <c r="N77" s="4"/>
      <c r="O77" s="4"/>
      <c r="P77" s="4"/>
      <c r="Q77" s="4"/>
      <c r="R77" s="103" cm="1">
        <f t="array" ref="R77">LOOKUP(2,1/(ISNUMBER(S77:AD77)),S77:AD77)</f>
        <v>4780016.9600000009</v>
      </c>
      <c r="S77" s="4">
        <v>-400459.39999999997</v>
      </c>
      <c r="T77" s="4">
        <v>2102229.0500000003</v>
      </c>
      <c r="U77" s="4">
        <v>-973462.44999999972</v>
      </c>
      <c r="V77" s="4">
        <v>3330987.9000000008</v>
      </c>
      <c r="W77" s="4">
        <v>4780016.9600000009</v>
      </c>
      <c r="X77" s="4"/>
      <c r="Y77" s="4"/>
      <c r="Z77" s="4"/>
      <c r="AA77" s="4"/>
      <c r="AB77" s="4"/>
      <c r="AC77" s="4"/>
      <c r="AD77" s="4"/>
      <c r="AE77" s="103" cm="1">
        <f t="array" ref="AE77">LOOKUP(2,1/(ISNUMBER(AF77:AQ77)),AF77:AQ77)</f>
        <v>-3946683.6266666679</v>
      </c>
      <c r="AF77" s="6">
        <v>567126.06666666665</v>
      </c>
      <c r="AG77" s="6">
        <v>-1768895.716666667</v>
      </c>
      <c r="AH77" s="4">
        <v>1473462.4499999995</v>
      </c>
      <c r="AI77" s="4">
        <v>-2664321.2333333343</v>
      </c>
      <c r="AJ77" s="4">
        <v>-3946683.6266666679</v>
      </c>
      <c r="AK77" s="4"/>
      <c r="AL77" s="4"/>
      <c r="AM77" s="4"/>
      <c r="AN77" s="4"/>
      <c r="AO77" s="4"/>
      <c r="AP77" s="4"/>
      <c r="AQ77" s="4"/>
    </row>
    <row r="78" spans="2:43" x14ac:dyDescent="0.35">
      <c r="B78" s="3" t="s">
        <v>77</v>
      </c>
      <c r="C78" s="25" t="b">
        <v>0</v>
      </c>
      <c r="D78" s="25" t="b">
        <v>1</v>
      </c>
      <c r="E78" s="105">
        <f t="shared" si="4"/>
        <v>30983333.333333336</v>
      </c>
      <c r="F78" s="8">
        <v>6196666.666666667</v>
      </c>
      <c r="G78" s="8">
        <v>12393333.333333334</v>
      </c>
      <c r="H78" s="8">
        <v>18590000</v>
      </c>
      <c r="I78" s="8">
        <v>24786666.666666668</v>
      </c>
      <c r="J78" s="8">
        <v>30983333.333333336</v>
      </c>
      <c r="K78" s="8"/>
      <c r="L78" s="8"/>
      <c r="M78" s="8"/>
      <c r="N78" s="8"/>
      <c r="O78" s="8"/>
      <c r="P78" s="8"/>
      <c r="Q78" s="8"/>
      <c r="R78" s="105" cm="1">
        <f t="array" ref="R78">LOOKUP(2,1/(ISNUMBER(S78:AD78)),S78:AD78)</f>
        <v>42272574.060000002</v>
      </c>
      <c r="S78" s="8">
        <v>5065842.080000001</v>
      </c>
      <c r="T78" s="8">
        <v>13401353.720000001</v>
      </c>
      <c r="U78" s="8">
        <v>20334047.32</v>
      </c>
      <c r="V78" s="8">
        <v>32590566.600000001</v>
      </c>
      <c r="W78" s="8">
        <v>42272574.060000002</v>
      </c>
      <c r="X78" s="8"/>
      <c r="Y78" s="8"/>
      <c r="Z78" s="8"/>
      <c r="AA78" s="8"/>
      <c r="AB78" s="8"/>
      <c r="AC78" s="8"/>
      <c r="AD78" s="8"/>
      <c r="AE78" s="105" cm="1">
        <f t="array" ref="AE78">LOOKUP(2,1/(ISNUMBER(AF78:AQ78)),AF78:AQ78)</f>
        <v>-11289240.726666667</v>
      </c>
      <c r="AF78" s="7">
        <v>1130824.586666666</v>
      </c>
      <c r="AG78" s="7">
        <v>-1008020.3866666667</v>
      </c>
      <c r="AH78" s="8">
        <v>-1744047.3199999994</v>
      </c>
      <c r="AI78" s="8">
        <v>-7803899.9333333336</v>
      </c>
      <c r="AJ78" s="8">
        <v>-11289240.726666667</v>
      </c>
      <c r="AK78" s="8"/>
      <c r="AL78" s="8"/>
      <c r="AM78" s="8"/>
      <c r="AN78" s="8"/>
      <c r="AO78" s="8"/>
      <c r="AP78" s="8"/>
      <c r="AQ78" s="8"/>
    </row>
    <row r="79" spans="2:43" x14ac:dyDescent="0.35">
      <c r="B79" s="3" t="s">
        <v>78</v>
      </c>
      <c r="C79" s="25" t="b">
        <v>0</v>
      </c>
      <c r="D79" s="25" t="b">
        <v>1</v>
      </c>
      <c r="E79" s="105">
        <f t="shared" si="4"/>
        <v>65372508.333333328</v>
      </c>
      <c r="F79" s="8">
        <v>13074501.666666666</v>
      </c>
      <c r="G79" s="8">
        <v>26149003.333333332</v>
      </c>
      <c r="H79" s="8">
        <v>39223505</v>
      </c>
      <c r="I79" s="8">
        <v>52298006.666666664</v>
      </c>
      <c r="J79" s="8">
        <v>65372508.333333328</v>
      </c>
      <c r="K79" s="8"/>
      <c r="L79" s="8"/>
      <c r="M79" s="8"/>
      <c r="N79" s="8"/>
      <c r="O79" s="8"/>
      <c r="P79" s="8"/>
      <c r="Q79" s="8"/>
      <c r="R79" s="105" cm="1">
        <f t="array" ref="R79">LOOKUP(2,1/(ISNUMBER(S79:AD79)),S79:AD79)</f>
        <v>76259858.659999996</v>
      </c>
      <c r="S79" s="8">
        <v>12875430.48</v>
      </c>
      <c r="T79" s="8">
        <v>27584321.120000001</v>
      </c>
      <c r="U79" s="8">
        <v>41213113.120000005</v>
      </c>
      <c r="V79" s="8">
        <v>60242560.200000003</v>
      </c>
      <c r="W79" s="8">
        <v>76259858.659999996</v>
      </c>
      <c r="X79" s="8"/>
      <c r="Y79" s="8"/>
      <c r="Z79" s="8"/>
      <c r="AA79" s="8"/>
      <c r="AB79" s="8"/>
      <c r="AC79" s="8"/>
      <c r="AD79" s="8"/>
      <c r="AE79" s="105" cm="1">
        <f t="array" ref="AE79">LOOKUP(2,1/(ISNUMBER(AF79:AQ79)),AF79:AQ79)</f>
        <v>-10887350.326666674</v>
      </c>
      <c r="AF79" s="7">
        <v>199071.1866666656</v>
      </c>
      <c r="AG79" s="7">
        <v>-1435317.786666669</v>
      </c>
      <c r="AH79" s="8">
        <v>-1989608.1200000029</v>
      </c>
      <c r="AI79" s="8">
        <v>-7944553.5333333388</v>
      </c>
      <c r="AJ79" s="8">
        <v>-10887350.326666674</v>
      </c>
      <c r="AK79" s="8"/>
      <c r="AL79" s="8"/>
      <c r="AM79" s="8"/>
      <c r="AN79" s="8"/>
      <c r="AO79" s="8"/>
      <c r="AP79" s="8"/>
      <c r="AQ79" s="8"/>
    </row>
    <row r="80" spans="2:43" x14ac:dyDescent="0.35">
      <c r="B80" s="35" t="s">
        <v>116</v>
      </c>
      <c r="C80" s="26" t="b">
        <v>0</v>
      </c>
      <c r="D80" s="26" t="b">
        <v>1</v>
      </c>
      <c r="E80" s="107"/>
      <c r="F80" s="20">
        <v>0</v>
      </c>
      <c r="G80" s="20">
        <v>0</v>
      </c>
      <c r="H80" s="20">
        <v>0</v>
      </c>
      <c r="I80" s="20">
        <v>0</v>
      </c>
      <c r="J80" s="20">
        <v>0</v>
      </c>
      <c r="K80" s="20"/>
      <c r="L80" s="20"/>
      <c r="M80" s="20"/>
      <c r="N80" s="20"/>
      <c r="O80" s="20"/>
      <c r="P80" s="20"/>
      <c r="Q80" s="20"/>
      <c r="R80" s="107" cm="1">
        <f t="array" ref="R80">LOOKUP(2,1/(ISNUMBER(S80:AD80)),S80:AD80)</f>
        <v>0</v>
      </c>
      <c r="S80" s="20">
        <v>0</v>
      </c>
      <c r="T80" s="20">
        <v>0</v>
      </c>
      <c r="U80" s="20">
        <v>0</v>
      </c>
      <c r="V80" s="20">
        <v>0</v>
      </c>
      <c r="W80" s="20">
        <v>0</v>
      </c>
      <c r="X80" s="20"/>
      <c r="Y80" s="20"/>
      <c r="Z80" s="20"/>
      <c r="AA80" s="20"/>
      <c r="AB80" s="20"/>
      <c r="AC80" s="20"/>
      <c r="AD80" s="20"/>
      <c r="AE80" s="107" cm="1">
        <f t="array" ref="AE80">LOOKUP(2,1/(ISNUMBER(AF80:AQ80)),AF80:AQ80)</f>
        <v>0</v>
      </c>
      <c r="AF80" s="20">
        <v>0</v>
      </c>
      <c r="AG80" s="20">
        <v>0</v>
      </c>
      <c r="AH80" s="20">
        <v>0</v>
      </c>
      <c r="AI80" s="20">
        <v>0</v>
      </c>
      <c r="AJ80" s="20">
        <v>0</v>
      </c>
      <c r="AK80" s="20"/>
      <c r="AL80" s="20"/>
      <c r="AM80" s="20"/>
      <c r="AN80" s="20"/>
      <c r="AO80" s="20"/>
      <c r="AP80" s="20"/>
      <c r="AQ80" s="20"/>
    </row>
    <row r="81" spans="2:47" x14ac:dyDescent="0.35">
      <c r="B81" s="33" t="s">
        <v>115</v>
      </c>
      <c r="C81" s="24" t="b">
        <v>0</v>
      </c>
      <c r="D81" s="24" t="b">
        <v>1</v>
      </c>
      <c r="E81" s="104">
        <f t="shared" ref="E81:E93" si="5">MAX(F81:Q81)</f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R81" s="104" cm="1">
        <f t="array" ref="R81">LOOKUP(2,1/(ISNUMBER(S81:AD81)),S81:AD81)</f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/>
      <c r="Y81" s="5"/>
      <c r="Z81" s="5"/>
      <c r="AA81" s="5"/>
      <c r="AB81" s="5"/>
      <c r="AC81" s="5"/>
      <c r="AD81" s="5"/>
      <c r="AE81" s="104" cm="1">
        <f t="array" ref="AE81">LOOKUP(2,1/(ISNUMBER(AF81:AQ81)),AF81:AQ81)</f>
        <v>0</v>
      </c>
      <c r="AF81" s="5">
        <v>0</v>
      </c>
      <c r="AG81" s="5">
        <v>0</v>
      </c>
      <c r="AH81" s="5">
        <v>0</v>
      </c>
      <c r="AI81" s="5">
        <v>0</v>
      </c>
      <c r="AJ81" s="5">
        <v>0</v>
      </c>
      <c r="AK81" s="5"/>
      <c r="AL81" s="5"/>
      <c r="AM81" s="5"/>
      <c r="AN81" s="5"/>
      <c r="AO81" s="5"/>
      <c r="AP81" s="5"/>
      <c r="AQ81" s="5"/>
    </row>
    <row r="82" spans="2:47" x14ac:dyDescent="0.35">
      <c r="B82" s="33" t="s">
        <v>114</v>
      </c>
      <c r="C82" s="24" t="b">
        <v>0</v>
      </c>
      <c r="D82" s="24" t="b">
        <v>1</v>
      </c>
      <c r="E82" s="104">
        <f t="shared" si="5"/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R82" s="104" cm="1">
        <f t="array" ref="R82">LOOKUP(2,1/(ISNUMBER(S82:AD82)),S82:AD82)</f>
        <v>7514</v>
      </c>
      <c r="S82" s="5">
        <v>1570</v>
      </c>
      <c r="T82" s="5">
        <v>1913</v>
      </c>
      <c r="U82" s="5">
        <v>7514</v>
      </c>
      <c r="V82" s="5">
        <v>7514</v>
      </c>
      <c r="W82" s="5">
        <v>7514</v>
      </c>
      <c r="X82" s="5"/>
      <c r="Y82" s="5"/>
      <c r="Z82" s="5"/>
      <c r="AA82" s="5"/>
      <c r="AB82" s="5"/>
      <c r="AC82" s="5"/>
      <c r="AD82" s="5"/>
      <c r="AE82" s="104" cm="1">
        <f t="array" ref="AE82">LOOKUP(2,1/(ISNUMBER(AF82:AQ82)),AF82:AQ82)</f>
        <v>-7514</v>
      </c>
      <c r="AF82" s="5">
        <v>-1570</v>
      </c>
      <c r="AG82" s="5">
        <v>-1913</v>
      </c>
      <c r="AH82" s="5">
        <v>-7514</v>
      </c>
      <c r="AI82" s="5">
        <v>-7514</v>
      </c>
      <c r="AJ82" s="5">
        <v>-7514</v>
      </c>
      <c r="AK82" s="5"/>
      <c r="AL82" s="5"/>
      <c r="AM82" s="5"/>
      <c r="AN82" s="5"/>
      <c r="AO82" s="5"/>
      <c r="AP82" s="5"/>
      <c r="AQ82" s="5"/>
    </row>
    <row r="83" spans="2:47" x14ac:dyDescent="0.35">
      <c r="B83" s="34" t="s">
        <v>79</v>
      </c>
      <c r="C83" s="27" t="b">
        <v>0</v>
      </c>
      <c r="D83" s="27" t="b">
        <v>1</v>
      </c>
      <c r="E83" s="106">
        <f t="shared" si="5"/>
        <v>0</v>
      </c>
      <c r="F83" s="10">
        <v>0</v>
      </c>
      <c r="G83" s="10">
        <v>0</v>
      </c>
      <c r="H83" s="10">
        <v>0</v>
      </c>
      <c r="I83" s="10">
        <v>0</v>
      </c>
      <c r="J83" s="10">
        <v>0</v>
      </c>
      <c r="K83" s="10"/>
      <c r="L83" s="10"/>
      <c r="M83" s="10"/>
      <c r="N83" s="10"/>
      <c r="O83" s="10"/>
      <c r="P83" s="10"/>
      <c r="Q83" s="10"/>
      <c r="R83" s="106" cm="1">
        <f t="array" ref="R83">LOOKUP(2,1/(ISNUMBER(S83:AD83)),S83:AD83)</f>
        <v>0</v>
      </c>
      <c r="S83" s="10">
        <v>0</v>
      </c>
      <c r="T83" s="10">
        <v>0</v>
      </c>
      <c r="U83" s="10">
        <v>0</v>
      </c>
      <c r="V83" s="10">
        <v>0</v>
      </c>
      <c r="W83" s="10">
        <v>0</v>
      </c>
      <c r="X83" s="10"/>
      <c r="Y83" s="10"/>
      <c r="Z83" s="10"/>
      <c r="AA83" s="10"/>
      <c r="AB83" s="10"/>
      <c r="AC83" s="10"/>
      <c r="AD83" s="10"/>
      <c r="AE83" s="106" cm="1">
        <f t="array" ref="AE83">LOOKUP(2,1/(ISNUMBER(AF83:AQ83)),AF83:AQ83)</f>
        <v>0</v>
      </c>
      <c r="AF83" s="9">
        <v>0</v>
      </c>
      <c r="AG83" s="9">
        <v>0</v>
      </c>
      <c r="AH83" s="10">
        <v>0</v>
      </c>
      <c r="AI83" s="10">
        <v>0</v>
      </c>
      <c r="AJ83" s="10">
        <v>0</v>
      </c>
      <c r="AK83" s="10"/>
      <c r="AL83" s="10"/>
      <c r="AM83" s="10"/>
      <c r="AN83" s="10"/>
      <c r="AO83" s="10"/>
      <c r="AP83" s="10"/>
      <c r="AQ83" s="10"/>
    </row>
    <row r="84" spans="2:47" x14ac:dyDescent="0.35">
      <c r="B84" s="36" t="s">
        <v>80</v>
      </c>
      <c r="C84" s="28" t="b">
        <v>0</v>
      </c>
      <c r="D84" s="28" t="b">
        <v>1</v>
      </c>
      <c r="E84" s="108">
        <f t="shared" si="5"/>
        <v>52083333.333333328</v>
      </c>
      <c r="F84" s="11">
        <v>10416666.666666666</v>
      </c>
      <c r="G84" s="11">
        <v>20833333.333333332</v>
      </c>
      <c r="H84" s="11">
        <v>31250000</v>
      </c>
      <c r="I84" s="11">
        <v>41666666.666666664</v>
      </c>
      <c r="J84" s="11">
        <v>52083333.333333328</v>
      </c>
      <c r="K84" s="11"/>
      <c r="L84" s="11"/>
      <c r="M84" s="11"/>
      <c r="N84" s="11"/>
      <c r="O84" s="11"/>
      <c r="P84" s="11"/>
      <c r="Q84" s="11"/>
      <c r="R84" s="108" cm="1">
        <f t="array" ref="R84">LOOKUP(2,1/(ISNUMBER(S84:AD84)),S84:AD84)</f>
        <v>87678064.599999994</v>
      </c>
      <c r="S84" s="11">
        <v>10592190.960000001</v>
      </c>
      <c r="T84" s="11">
        <v>24516439.969999999</v>
      </c>
      <c r="U84" s="11">
        <v>33834287</v>
      </c>
      <c r="V84" s="11">
        <v>65608288.600000001</v>
      </c>
      <c r="W84" s="11">
        <v>87678064.599999994</v>
      </c>
      <c r="X84" s="11"/>
      <c r="Y84" s="11"/>
      <c r="Z84" s="11"/>
      <c r="AA84" s="11"/>
      <c r="AB84" s="11"/>
      <c r="AC84" s="11"/>
      <c r="AD84" s="11"/>
      <c r="AE84" s="108" cm="1">
        <f t="array" ref="AE84">LOOKUP(2,1/(ISNUMBER(AF84:AQ84)),AF84:AQ84)</f>
        <v>-35594731.266666673</v>
      </c>
      <c r="AF84" s="11">
        <v>-175524.29333333485</v>
      </c>
      <c r="AG84" s="11">
        <v>-3683106.6366666686</v>
      </c>
      <c r="AH84" s="11">
        <v>-2584287.0000000019</v>
      </c>
      <c r="AI84" s="11">
        <v>-23941621.933333337</v>
      </c>
      <c r="AJ84" s="11">
        <v>-35594731.266666673</v>
      </c>
      <c r="AK84" s="11"/>
      <c r="AL84" s="11"/>
      <c r="AM84" s="11"/>
      <c r="AN84" s="11"/>
      <c r="AO84" s="11"/>
      <c r="AP84" s="11"/>
      <c r="AQ84" s="11"/>
    </row>
    <row r="85" spans="2:47" x14ac:dyDescent="0.35">
      <c r="B85" s="33" t="s">
        <v>81</v>
      </c>
      <c r="C85" s="24" t="b">
        <v>0</v>
      </c>
      <c r="D85" s="24" t="b">
        <v>1</v>
      </c>
      <c r="E85" s="104">
        <f t="shared" si="5"/>
        <v>52083333.333333328</v>
      </c>
      <c r="F85" s="5">
        <v>10416666.666666666</v>
      </c>
      <c r="G85" s="5">
        <v>20833333.333333332</v>
      </c>
      <c r="H85" s="5">
        <v>31250000</v>
      </c>
      <c r="I85" s="5">
        <v>41666666.666666664</v>
      </c>
      <c r="J85" s="5">
        <v>52083333.333333328</v>
      </c>
      <c r="R85" s="104" cm="1">
        <f t="array" ref="R85">LOOKUP(2,1/(ISNUMBER(S85:AD85)),S85:AD85)</f>
        <v>87678064.599999994</v>
      </c>
      <c r="S85" s="5">
        <v>10592190.960000001</v>
      </c>
      <c r="T85" s="5">
        <v>24516439.969999999</v>
      </c>
      <c r="U85" s="5">
        <v>33834287</v>
      </c>
      <c r="V85" s="5">
        <v>65608288.600000001</v>
      </c>
      <c r="W85" s="5">
        <v>87678064.599999994</v>
      </c>
      <c r="X85" s="5"/>
      <c r="Y85" s="5"/>
      <c r="Z85" s="5"/>
      <c r="AA85" s="5"/>
      <c r="AB85" s="5"/>
      <c r="AC85" s="5"/>
      <c r="AD85" s="5"/>
      <c r="AE85" s="104" cm="1">
        <f t="array" ref="AE85">LOOKUP(2,1/(ISNUMBER(AF85:AQ85)),AF85:AQ85)</f>
        <v>-35594731.266666673</v>
      </c>
      <c r="AF85" s="5">
        <v>-175524.29333333485</v>
      </c>
      <c r="AG85" s="5">
        <v>-3683106.6366666686</v>
      </c>
      <c r="AH85" s="5">
        <v>-2584287.0000000019</v>
      </c>
      <c r="AI85" s="5">
        <v>-23941621.933333337</v>
      </c>
      <c r="AJ85" s="5">
        <v>-35594731.266666673</v>
      </c>
      <c r="AK85" s="5"/>
      <c r="AL85" s="5"/>
      <c r="AM85" s="5"/>
      <c r="AN85" s="5"/>
      <c r="AO85" s="5"/>
      <c r="AP85" s="5"/>
      <c r="AQ85" s="5"/>
    </row>
    <row r="86" spans="2:47" x14ac:dyDescent="0.35">
      <c r="B86" s="16" t="s">
        <v>82</v>
      </c>
      <c r="C86" s="24" t="b">
        <v>0</v>
      </c>
      <c r="D86" s="24" t="b">
        <v>1</v>
      </c>
      <c r="E86" s="104">
        <f t="shared" si="5"/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R86" s="104" cm="1">
        <f t="array" ref="R86">LOOKUP(2,1/(ISNUMBER(S86:AD86)),S86:AD86)</f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/>
      <c r="Y86" s="5"/>
      <c r="Z86" s="5"/>
      <c r="AA86" s="5"/>
      <c r="AB86" s="5"/>
      <c r="AC86" s="5"/>
      <c r="AD86" s="5"/>
      <c r="AE86" s="104" cm="1">
        <f t="array" ref="AE86">LOOKUP(2,1/(ISNUMBER(AF86:AQ86)),AF86:AQ86)</f>
        <v>0</v>
      </c>
      <c r="AF86" s="5">
        <v>0</v>
      </c>
      <c r="AG86" s="5">
        <v>0</v>
      </c>
      <c r="AH86" s="5">
        <v>0</v>
      </c>
      <c r="AI86" s="5">
        <v>0</v>
      </c>
      <c r="AJ86" s="5">
        <v>0</v>
      </c>
      <c r="AK86" s="5"/>
      <c r="AL86" s="5"/>
      <c r="AM86" s="5"/>
      <c r="AN86" s="5"/>
      <c r="AO86" s="5"/>
      <c r="AP86" s="5"/>
      <c r="AQ86" s="5"/>
    </row>
    <row r="87" spans="2:47" x14ac:dyDescent="0.35">
      <c r="B87" s="36" t="s">
        <v>83</v>
      </c>
      <c r="C87" s="28" t="b">
        <v>0</v>
      </c>
      <c r="D87" s="28" t="b">
        <v>1</v>
      </c>
      <c r="E87" s="108">
        <f t="shared" si="5"/>
        <v>14583333.333333332</v>
      </c>
      <c r="F87" s="11">
        <v>2916666.6666666665</v>
      </c>
      <c r="G87" s="11">
        <v>5833333.333333333</v>
      </c>
      <c r="H87" s="11">
        <v>8750000</v>
      </c>
      <c r="I87" s="11">
        <v>11666666.666666666</v>
      </c>
      <c r="J87" s="11">
        <v>14583333.333333332</v>
      </c>
      <c r="K87" s="11"/>
      <c r="L87" s="11"/>
      <c r="M87" s="11"/>
      <c r="N87" s="11"/>
      <c r="O87" s="11"/>
      <c r="P87" s="11"/>
      <c r="Q87" s="11"/>
      <c r="R87" s="108" cm="1">
        <f t="array" ref="R87">LOOKUP(2,1/(ISNUMBER(S87:AD87)),S87:AD87)</f>
        <v>13592638.42</v>
      </c>
      <c r="S87" s="11">
        <v>2933932.73</v>
      </c>
      <c r="T87" s="11">
        <v>5890117.0899999999</v>
      </c>
      <c r="U87" s="11">
        <v>8034436.4299999997</v>
      </c>
      <c r="V87" s="11">
        <v>9902113.9900000002</v>
      </c>
      <c r="W87" s="11">
        <v>13592638.42</v>
      </c>
      <c r="X87" s="11"/>
      <c r="Y87" s="11"/>
      <c r="Z87" s="11"/>
      <c r="AA87" s="11"/>
      <c r="AB87" s="11"/>
      <c r="AC87" s="11"/>
      <c r="AD87" s="11"/>
      <c r="AE87" s="108" cm="1">
        <f t="array" ref="AE87">LOOKUP(2,1/(ISNUMBER(AF87:AQ87)),AF87:AQ87)</f>
        <v>990694.91333333263</v>
      </c>
      <c r="AF87" s="11">
        <v>-17266.06333333347</v>
      </c>
      <c r="AG87" s="11">
        <v>-56783.756666667294</v>
      </c>
      <c r="AH87" s="11">
        <v>715563.56999999937</v>
      </c>
      <c r="AI87" s="11">
        <v>1764552.6766666658</v>
      </c>
      <c r="AJ87" s="11">
        <v>990694.91333333263</v>
      </c>
      <c r="AK87" s="11"/>
      <c r="AL87" s="11"/>
      <c r="AM87" s="11"/>
      <c r="AN87" s="11"/>
      <c r="AO87" s="11"/>
      <c r="AP87" s="11"/>
      <c r="AQ87" s="11"/>
      <c r="AU87" s="37"/>
    </row>
    <row r="88" spans="2:47" x14ac:dyDescent="0.35">
      <c r="B88" s="33" t="s">
        <v>84</v>
      </c>
      <c r="C88" s="24" t="b">
        <v>0</v>
      </c>
      <c r="D88" s="24" t="b">
        <v>1</v>
      </c>
      <c r="E88" s="104">
        <f t="shared" si="5"/>
        <v>14583333.333333332</v>
      </c>
      <c r="F88" s="5">
        <v>2916666.6666666665</v>
      </c>
      <c r="G88" s="5">
        <v>5833333.333333333</v>
      </c>
      <c r="H88" s="5">
        <v>8750000</v>
      </c>
      <c r="I88" s="5">
        <v>11666666.666666666</v>
      </c>
      <c r="J88" s="5">
        <v>14583333.333333332</v>
      </c>
      <c r="R88" s="104" cm="1">
        <f t="array" ref="R88">LOOKUP(2,1/(ISNUMBER(S88:AD88)),S88:AD88)</f>
        <v>9943510.1100000013</v>
      </c>
      <c r="S88" s="5">
        <v>2225655.89</v>
      </c>
      <c r="T88" s="5">
        <v>4025893.7600000002</v>
      </c>
      <c r="U88" s="5">
        <v>5588544.8200000003</v>
      </c>
      <c r="V88" s="5">
        <v>6951104.3800000008</v>
      </c>
      <c r="W88" s="5">
        <v>9943510.1100000013</v>
      </c>
      <c r="X88" s="5"/>
      <c r="Y88" s="5"/>
      <c r="Z88" s="5"/>
      <c r="AA88" s="5"/>
      <c r="AB88" s="5"/>
      <c r="AC88" s="5"/>
      <c r="AD88" s="5"/>
      <c r="AE88" s="104" cm="1">
        <f t="array" ref="AE88">LOOKUP(2,1/(ISNUMBER(AF88:AQ88)),AF88:AQ88)</f>
        <v>4639823.2233333318</v>
      </c>
      <c r="AF88" s="5">
        <v>691010.77666666638</v>
      </c>
      <c r="AG88" s="5">
        <v>1807439.5733333328</v>
      </c>
      <c r="AH88" s="5">
        <v>3161455.1799999992</v>
      </c>
      <c r="AI88" s="5">
        <v>4715562.2866666652</v>
      </c>
      <c r="AJ88" s="5">
        <v>4639823.2233333318</v>
      </c>
      <c r="AK88" s="5"/>
      <c r="AL88" s="5"/>
      <c r="AM88" s="5"/>
      <c r="AN88" s="5"/>
      <c r="AO88" s="5"/>
      <c r="AP88" s="5"/>
      <c r="AQ88" s="5"/>
    </row>
    <row r="89" spans="2:47" x14ac:dyDescent="0.35">
      <c r="B89" s="33" t="s">
        <v>85</v>
      </c>
      <c r="C89" s="24" t="b">
        <v>0</v>
      </c>
      <c r="D89" s="24" t="b">
        <v>1</v>
      </c>
      <c r="E89" s="104">
        <f t="shared" si="5"/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R89" s="104" cm="1">
        <f t="array" ref="R89">LOOKUP(2,1/(ISNUMBER(S89:AD89)),S89:AD89)</f>
        <v>3649128.3100000005</v>
      </c>
      <c r="S89" s="5">
        <v>708276.84</v>
      </c>
      <c r="T89" s="5">
        <v>1864223.33</v>
      </c>
      <c r="U89" s="5">
        <v>2445891.6100000003</v>
      </c>
      <c r="V89" s="5">
        <v>2951009.6100000003</v>
      </c>
      <c r="W89" s="5">
        <v>3649128.3100000005</v>
      </c>
      <c r="X89" s="5"/>
      <c r="Y89" s="5"/>
      <c r="Z89" s="5"/>
      <c r="AA89" s="5"/>
      <c r="AB89" s="5"/>
      <c r="AC89" s="5"/>
      <c r="AD89" s="5"/>
      <c r="AE89" s="104" cm="1">
        <f t="array" ref="AE89">LOOKUP(2,1/(ISNUMBER(AF89:AQ89)),AF89:AQ89)</f>
        <v>-3649128.3100000005</v>
      </c>
      <c r="AF89" s="5">
        <v>-708276.84</v>
      </c>
      <c r="AG89" s="5">
        <v>-1864223.33</v>
      </c>
      <c r="AH89" s="5">
        <v>-2445891.6100000003</v>
      </c>
      <c r="AI89" s="5">
        <v>-2951009.6100000003</v>
      </c>
      <c r="AJ89" s="5">
        <v>-3649128.3100000005</v>
      </c>
      <c r="AK89" s="5"/>
      <c r="AL89" s="5"/>
      <c r="AM89" s="5"/>
      <c r="AN89" s="5"/>
      <c r="AO89" s="5"/>
      <c r="AP89" s="5"/>
      <c r="AQ89" s="5"/>
    </row>
    <row r="90" spans="2:47" x14ac:dyDescent="0.35">
      <c r="B90" s="38" t="s">
        <v>35</v>
      </c>
      <c r="C90" s="27" t="b">
        <v>0</v>
      </c>
      <c r="D90" s="27" t="b">
        <v>1</v>
      </c>
      <c r="E90" s="109">
        <f t="shared" si="5"/>
        <v>708333.33333333326</v>
      </c>
      <c r="F90" s="10">
        <v>141666.66666666666</v>
      </c>
      <c r="G90" s="10">
        <v>283333.33333333331</v>
      </c>
      <c r="H90" s="10">
        <v>425000</v>
      </c>
      <c r="I90" s="10">
        <v>566666.66666666663</v>
      </c>
      <c r="J90" s="10">
        <v>708333.33333333326</v>
      </c>
      <c r="K90" s="10"/>
      <c r="L90" s="10"/>
      <c r="M90" s="10"/>
      <c r="N90" s="10"/>
      <c r="O90" s="10"/>
      <c r="P90" s="10"/>
      <c r="Q90" s="10"/>
      <c r="R90" s="109" cm="1">
        <f t="array" ref="R90">LOOKUP(2,1/(ISNUMBER(S90:AD90)),S90:AD90)</f>
        <v>910031.89</v>
      </c>
      <c r="S90" s="10">
        <v>100375</v>
      </c>
      <c r="T90" s="10">
        <v>271360</v>
      </c>
      <c r="U90" s="10">
        <v>469444.1</v>
      </c>
      <c r="V90" s="10">
        <v>709384.89</v>
      </c>
      <c r="W90" s="10">
        <v>910031.89</v>
      </c>
      <c r="X90" s="10"/>
      <c r="Y90" s="10"/>
      <c r="Z90" s="10"/>
      <c r="AA90" s="10"/>
      <c r="AB90" s="10"/>
      <c r="AC90" s="10"/>
      <c r="AD90" s="10"/>
      <c r="AE90" s="109" cm="1">
        <f t="array" ref="AE90">LOOKUP(2,1/(ISNUMBER(AF90:AQ90)),AF90:AQ90)</f>
        <v>-201698.55666666673</v>
      </c>
      <c r="AF90" s="10">
        <v>41291.666666666657</v>
      </c>
      <c r="AG90" s="10">
        <v>11973.333333333314</v>
      </c>
      <c r="AH90" s="10">
        <v>-44444.100000000035</v>
      </c>
      <c r="AI90" s="10">
        <v>-142718.22333333339</v>
      </c>
      <c r="AJ90" s="10">
        <v>-201698.55666666673</v>
      </c>
      <c r="AK90" s="10"/>
      <c r="AL90" s="10"/>
      <c r="AM90" s="10"/>
      <c r="AN90" s="10"/>
      <c r="AO90" s="10"/>
      <c r="AP90" s="10"/>
      <c r="AQ90" s="10"/>
    </row>
    <row r="91" spans="2:47" x14ac:dyDescent="0.35">
      <c r="B91" s="36" t="s">
        <v>86</v>
      </c>
      <c r="C91" s="28" t="b">
        <v>0</v>
      </c>
      <c r="D91" s="28" t="b">
        <v>1</v>
      </c>
      <c r="E91" s="108">
        <f t="shared" si="5"/>
        <v>67375000</v>
      </c>
      <c r="F91" s="11">
        <v>13475000</v>
      </c>
      <c r="G91" s="11">
        <v>26950000</v>
      </c>
      <c r="H91" s="11">
        <v>40425000</v>
      </c>
      <c r="I91" s="11">
        <v>53900000</v>
      </c>
      <c r="J91" s="11">
        <v>67375000</v>
      </c>
      <c r="K91" s="11"/>
      <c r="L91" s="11"/>
      <c r="M91" s="11"/>
      <c r="N91" s="11"/>
      <c r="O91" s="11"/>
      <c r="P91" s="11"/>
      <c r="Q91" s="11"/>
      <c r="R91" s="108" cm="1">
        <f t="array" ref="R91">LOOKUP(2,1/(ISNUMBER(S91:AD91)),S91:AD91)</f>
        <v>102180734.91</v>
      </c>
      <c r="S91" s="11">
        <v>13626498.690000001</v>
      </c>
      <c r="T91" s="11">
        <v>30677917.060000002</v>
      </c>
      <c r="U91" s="11">
        <v>42338167.530000001</v>
      </c>
      <c r="V91" s="11">
        <v>76219787.480000004</v>
      </c>
      <c r="W91" s="11">
        <v>102180734.91</v>
      </c>
      <c r="X91" s="11"/>
      <c r="Y91" s="11"/>
      <c r="Z91" s="11"/>
      <c r="AA91" s="11"/>
      <c r="AB91" s="11"/>
      <c r="AC91" s="11"/>
      <c r="AD91" s="11"/>
      <c r="AE91" s="108" cm="1">
        <f t="array" ref="AE91">LOOKUP(2,1/(ISNUMBER(AF91:AQ91)),AF91:AQ91)</f>
        <v>-34805734.910000004</v>
      </c>
      <c r="AF91" s="11">
        <v>-151498.69000000134</v>
      </c>
      <c r="AG91" s="11">
        <v>-3727917.0600000024</v>
      </c>
      <c r="AH91" s="11">
        <v>-1913167.5300000012</v>
      </c>
      <c r="AI91" s="11">
        <v>-22319787.480000004</v>
      </c>
      <c r="AJ91" s="11">
        <v>-34805734.910000004</v>
      </c>
      <c r="AK91" s="11"/>
      <c r="AL91" s="11"/>
      <c r="AM91" s="11"/>
      <c r="AN91" s="11"/>
      <c r="AO91" s="11"/>
      <c r="AP91" s="11"/>
      <c r="AQ91" s="11"/>
    </row>
    <row r="92" spans="2:47" x14ac:dyDescent="0.35">
      <c r="B92" s="3" t="s">
        <v>78</v>
      </c>
      <c r="C92" s="25" t="b">
        <v>0</v>
      </c>
      <c r="D92" s="25" t="b">
        <v>1</v>
      </c>
      <c r="E92" s="105">
        <f t="shared" si="5"/>
        <v>65372508.333333328</v>
      </c>
      <c r="F92" s="8">
        <v>13074501.666666666</v>
      </c>
      <c r="G92" s="8">
        <v>26149003.333333332</v>
      </c>
      <c r="H92" s="8">
        <v>39223505</v>
      </c>
      <c r="I92" s="8">
        <v>52298006.666666664</v>
      </c>
      <c r="J92" s="8">
        <v>65372508.333333328</v>
      </c>
      <c r="K92" s="8"/>
      <c r="L92" s="8"/>
      <c r="M92" s="8"/>
      <c r="N92" s="8"/>
      <c r="O92" s="8"/>
      <c r="P92" s="8"/>
      <c r="Q92" s="8"/>
      <c r="R92" s="105" cm="1">
        <f t="array" ref="R92">LOOKUP(2,1/(ISNUMBER(S92:AD92)),S92:AD92)</f>
        <v>76259858.659999996</v>
      </c>
      <c r="S92" s="8">
        <v>12875430.48</v>
      </c>
      <c r="T92" s="8">
        <v>27584321.120000001</v>
      </c>
      <c r="U92" s="8">
        <v>41213113.120000005</v>
      </c>
      <c r="V92" s="8">
        <v>60242560.200000003</v>
      </c>
      <c r="W92" s="8">
        <v>76259858.659999996</v>
      </c>
      <c r="X92" s="8"/>
      <c r="Y92" s="8"/>
      <c r="Z92" s="8"/>
      <c r="AA92" s="8"/>
      <c r="AB92" s="8"/>
      <c r="AC92" s="8"/>
      <c r="AD92" s="8"/>
      <c r="AE92" s="105" cm="1">
        <f t="array" ref="AE92">LOOKUP(2,1/(ISNUMBER(AF92:AQ92)),AF92:AQ92)</f>
        <v>-10887350.326666674</v>
      </c>
      <c r="AF92" s="7">
        <v>199071.1866666656</v>
      </c>
      <c r="AG92" s="7">
        <v>-1435317.786666669</v>
      </c>
      <c r="AH92" s="7">
        <v>-1989608.1200000029</v>
      </c>
      <c r="AI92" s="7">
        <v>-7944553.5333333388</v>
      </c>
      <c r="AJ92" s="7">
        <v>-10887350.326666674</v>
      </c>
      <c r="AK92" s="7"/>
      <c r="AL92" s="7"/>
      <c r="AM92" s="7"/>
      <c r="AN92" s="7"/>
      <c r="AO92" s="7"/>
      <c r="AP92" s="7"/>
      <c r="AQ92" s="7"/>
    </row>
    <row r="93" spans="2:47" x14ac:dyDescent="0.35">
      <c r="B93" s="39" t="s">
        <v>87</v>
      </c>
      <c r="C93" s="29" t="b">
        <v>0</v>
      </c>
      <c r="D93" s="29" t="b">
        <v>1</v>
      </c>
      <c r="E93" s="110">
        <f t="shared" si="5"/>
        <v>2002491.6666666698</v>
      </c>
      <c r="F93" s="12">
        <v>400498.33333333395</v>
      </c>
      <c r="G93" s="12">
        <v>800996.66666666791</v>
      </c>
      <c r="H93" s="12">
        <v>1201495.0000000019</v>
      </c>
      <c r="I93" s="12">
        <v>1601993.3333333358</v>
      </c>
      <c r="J93" s="12">
        <v>2002491.6666666698</v>
      </c>
      <c r="K93" s="12"/>
      <c r="L93" s="12"/>
      <c r="M93" s="12"/>
      <c r="N93" s="12"/>
      <c r="O93" s="12"/>
      <c r="P93" s="12"/>
      <c r="Q93" s="12"/>
      <c r="R93" s="110" cm="1">
        <f t="array" ref="R93">LOOKUP(2,1/(ISNUMBER(S93:AD93)),S93:AD93)</f>
        <v>25920876.25</v>
      </c>
      <c r="S93" s="12">
        <v>751068.21000000089</v>
      </c>
      <c r="T93" s="12">
        <v>3093595.9400000013</v>
      </c>
      <c r="U93" s="12">
        <v>1125054.4100000001</v>
      </c>
      <c r="V93" s="12">
        <v>15977227.280000001</v>
      </c>
      <c r="W93" s="12">
        <v>25920876.25</v>
      </c>
      <c r="X93" s="12"/>
      <c r="Y93" s="12"/>
      <c r="Z93" s="12"/>
      <c r="AA93" s="12"/>
      <c r="AB93" s="12"/>
      <c r="AC93" s="12"/>
      <c r="AD93" s="12"/>
      <c r="AE93" s="110" cm="1">
        <f t="array" ref="AE93">LOOKUP(2,1/(ISNUMBER(AF93:AQ93)),AF93:AQ93)</f>
        <v>-23918384.583333328</v>
      </c>
      <c r="AF93" s="12">
        <v>-350569.87666666694</v>
      </c>
      <c r="AG93" s="12">
        <v>-2292599.2733333334</v>
      </c>
      <c r="AH93" s="12">
        <v>76440.590000001714</v>
      </c>
      <c r="AI93" s="12">
        <v>-14375233.946666665</v>
      </c>
      <c r="AJ93" s="12">
        <v>-23918384.583333328</v>
      </c>
      <c r="AK93" s="12"/>
      <c r="AL93" s="12"/>
      <c r="AM93" s="12"/>
      <c r="AN93" s="12"/>
      <c r="AO93" s="12"/>
      <c r="AP93" s="12"/>
      <c r="AQ93" s="12"/>
    </row>
    <row r="94" spans="2:47" x14ac:dyDescent="0.35">
      <c r="E94" s="106"/>
      <c r="R94" s="106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106"/>
      <c r="AF94" s="9"/>
      <c r="AG94" s="9"/>
      <c r="AH94" s="5"/>
      <c r="AI94" s="5"/>
      <c r="AJ94" s="5"/>
      <c r="AK94" s="5"/>
      <c r="AL94" s="5"/>
      <c r="AM94" s="5"/>
      <c r="AN94" s="5"/>
      <c r="AO94" s="5"/>
      <c r="AP94" s="5"/>
      <c r="AQ94" s="5"/>
    </row>
    <row r="95" spans="2:47" x14ac:dyDescent="0.35">
      <c r="B95" s="36" t="s">
        <v>88</v>
      </c>
      <c r="C95" s="45"/>
      <c r="D95" s="45"/>
      <c r="E95" s="108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08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08"/>
      <c r="AF95" s="13"/>
      <c r="AG95" s="13"/>
      <c r="AH95" s="11"/>
      <c r="AI95" s="11"/>
      <c r="AJ95" s="11"/>
      <c r="AK95" s="11"/>
      <c r="AL95" s="11"/>
      <c r="AM95" s="11"/>
      <c r="AN95" s="11"/>
      <c r="AO95" s="11"/>
      <c r="AP95" s="11"/>
      <c r="AQ95" s="11"/>
    </row>
    <row r="96" spans="2:47" x14ac:dyDescent="0.35">
      <c r="B96" s="33" t="s">
        <v>89</v>
      </c>
      <c r="C96" s="24" t="b">
        <v>0</v>
      </c>
      <c r="D96" s="24" t="b">
        <v>1</v>
      </c>
      <c r="E96" s="104">
        <f t="shared" ref="E96:E101" si="6">MAX(F96:Q96)</f>
        <v>1000000</v>
      </c>
      <c r="F96" s="5">
        <v>200000</v>
      </c>
      <c r="G96" s="5">
        <v>400000</v>
      </c>
      <c r="H96" s="5">
        <v>600000</v>
      </c>
      <c r="I96" s="5">
        <v>800000</v>
      </c>
      <c r="J96" s="5">
        <v>1000000</v>
      </c>
      <c r="R96" s="104" cm="1">
        <f t="array" ref="R96">LOOKUP(2,1/(ISNUMBER(S96:AD96)),S96:AD96)</f>
        <v>1788823.2299999997</v>
      </c>
      <c r="S96" s="5">
        <v>323233.74</v>
      </c>
      <c r="T96" s="5">
        <v>670389.86</v>
      </c>
      <c r="U96" s="5">
        <v>1074395.76</v>
      </c>
      <c r="V96" s="5">
        <v>1405089.8199999998</v>
      </c>
      <c r="W96" s="5">
        <v>1788823.2299999997</v>
      </c>
      <c r="X96" s="5"/>
      <c r="Y96" s="5"/>
      <c r="Z96" s="5"/>
      <c r="AA96" s="5"/>
      <c r="AB96" s="5"/>
      <c r="AC96" s="5"/>
      <c r="AD96" s="5"/>
      <c r="AE96" s="104" cm="1">
        <f t="array" ref="AE96">LOOKUP(2,1/(ISNUMBER(AF96:AQ96)),AF96:AQ96)</f>
        <v>-788823.23</v>
      </c>
      <c r="AF96" s="5">
        <v>-123233.73999999999</v>
      </c>
      <c r="AG96" s="5">
        <v>-270389.86</v>
      </c>
      <c r="AH96" s="5">
        <v>-474395.76</v>
      </c>
      <c r="AI96" s="5">
        <v>-605089.81999999995</v>
      </c>
      <c r="AJ96" s="5">
        <v>-788823.23</v>
      </c>
      <c r="AK96" s="5"/>
      <c r="AL96" s="5"/>
      <c r="AM96" s="5"/>
      <c r="AN96" s="5"/>
      <c r="AO96" s="5"/>
      <c r="AP96" s="5"/>
      <c r="AQ96" s="5"/>
    </row>
    <row r="97" spans="1:43" x14ac:dyDescent="0.35">
      <c r="B97" s="33" t="s">
        <v>90</v>
      </c>
      <c r="C97" s="24" t="b">
        <v>0</v>
      </c>
      <c r="D97" s="24" t="b">
        <v>1</v>
      </c>
      <c r="E97" s="104">
        <f t="shared" si="6"/>
        <v>83333.333333333343</v>
      </c>
      <c r="F97" s="5">
        <v>16666.666666666668</v>
      </c>
      <c r="G97" s="5">
        <v>33333.333333333336</v>
      </c>
      <c r="H97" s="5">
        <v>50000</v>
      </c>
      <c r="I97" s="5">
        <v>66666.666666666672</v>
      </c>
      <c r="J97" s="5">
        <v>83333.333333333343</v>
      </c>
      <c r="R97" s="104" cm="1">
        <f t="array" ref="R97">LOOKUP(2,1/(ISNUMBER(S97:AD97)),S97:AD97)</f>
        <v>218824.71</v>
      </c>
      <c r="S97" s="5">
        <v>0</v>
      </c>
      <c r="T97" s="5">
        <v>0</v>
      </c>
      <c r="U97" s="5">
        <v>58824.71</v>
      </c>
      <c r="V97" s="5">
        <v>218824.71</v>
      </c>
      <c r="W97" s="5">
        <v>218824.71</v>
      </c>
      <c r="X97" s="5"/>
      <c r="Y97" s="5"/>
      <c r="Z97" s="5"/>
      <c r="AA97" s="5"/>
      <c r="AB97" s="5"/>
      <c r="AC97" s="5"/>
      <c r="AD97" s="5"/>
      <c r="AE97" s="104" cm="1">
        <f t="array" ref="AE97">LOOKUP(2,1/(ISNUMBER(AF97:AQ97)),AF97:AQ97)</f>
        <v>-135491.37666666668</v>
      </c>
      <c r="AF97" s="5">
        <v>16666.666666666668</v>
      </c>
      <c r="AG97" s="5">
        <v>33333.333333333336</v>
      </c>
      <c r="AH97" s="5">
        <v>-8824.7099999999991</v>
      </c>
      <c r="AI97" s="5">
        <v>-152158.04333333333</v>
      </c>
      <c r="AJ97" s="5">
        <v>-135491.37666666668</v>
      </c>
      <c r="AK97" s="5"/>
      <c r="AL97" s="5"/>
      <c r="AM97" s="5"/>
      <c r="AN97" s="5"/>
      <c r="AO97" s="5"/>
      <c r="AP97" s="5"/>
      <c r="AQ97" s="5"/>
    </row>
    <row r="98" spans="1:43" x14ac:dyDescent="0.35">
      <c r="B98" s="33" t="s">
        <v>91</v>
      </c>
      <c r="C98" s="24" t="b">
        <v>0</v>
      </c>
      <c r="D98" s="24" t="b">
        <v>1</v>
      </c>
      <c r="E98" s="104">
        <f t="shared" si="6"/>
        <v>2083333.3333333335</v>
      </c>
      <c r="F98" s="5">
        <v>416666.66666666669</v>
      </c>
      <c r="G98" s="5">
        <v>833333.33333333337</v>
      </c>
      <c r="H98" s="5">
        <v>1250000</v>
      </c>
      <c r="I98" s="5">
        <v>1666666.6666666667</v>
      </c>
      <c r="J98" s="5">
        <v>2083333.3333333335</v>
      </c>
      <c r="R98" s="104" cm="1">
        <f t="array" ref="R98">LOOKUP(2,1/(ISNUMBER(S98:AD98)),S98:AD98)</f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/>
      <c r="Y98" s="5"/>
      <c r="Z98" s="5"/>
      <c r="AA98" s="5"/>
      <c r="AB98" s="5"/>
      <c r="AC98" s="5"/>
      <c r="AD98" s="5"/>
      <c r="AE98" s="104" cm="1">
        <f t="array" ref="AE98">LOOKUP(2,1/(ISNUMBER(AF98:AQ98)),AF98:AQ98)</f>
        <v>2083333.3333333335</v>
      </c>
      <c r="AF98" s="5">
        <v>416666.66666666669</v>
      </c>
      <c r="AG98" s="5">
        <v>833333.33333333337</v>
      </c>
      <c r="AH98" s="5">
        <v>1250000</v>
      </c>
      <c r="AI98" s="5">
        <v>1666666.6666666667</v>
      </c>
      <c r="AJ98" s="5">
        <v>2083333.3333333335</v>
      </c>
      <c r="AK98" s="5"/>
      <c r="AL98" s="5"/>
      <c r="AM98" s="5"/>
      <c r="AN98" s="5"/>
      <c r="AO98" s="5"/>
      <c r="AP98" s="5"/>
      <c r="AQ98" s="5"/>
    </row>
    <row r="99" spans="1:43" x14ac:dyDescent="0.35">
      <c r="B99" s="33" t="s">
        <v>92</v>
      </c>
      <c r="C99" s="24" t="b">
        <v>0</v>
      </c>
      <c r="D99" s="24" t="b">
        <v>1</v>
      </c>
      <c r="E99" s="104">
        <f t="shared" si="6"/>
        <v>8333.3333333333339</v>
      </c>
      <c r="F99" s="5">
        <v>1666.6666666666667</v>
      </c>
      <c r="G99" s="5">
        <v>3333.3333333333335</v>
      </c>
      <c r="H99" s="5">
        <v>5000</v>
      </c>
      <c r="I99" s="5">
        <v>6666.666666666667</v>
      </c>
      <c r="J99" s="5">
        <v>8333.3333333333339</v>
      </c>
      <c r="R99" s="104" cm="1">
        <f t="array" ref="R99">LOOKUP(2,1/(ISNUMBER(S99:AD99)),S99:AD99)</f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/>
      <c r="Y99" s="5"/>
      <c r="Z99" s="5"/>
      <c r="AA99" s="5"/>
      <c r="AB99" s="5"/>
      <c r="AC99" s="5"/>
      <c r="AD99" s="5"/>
      <c r="AE99" s="104" cm="1">
        <f t="array" ref="AE99">LOOKUP(2,1/(ISNUMBER(AF99:AQ99)),AF99:AQ99)</f>
        <v>8333.3333333333339</v>
      </c>
      <c r="AF99" s="5">
        <v>1666.6666666666667</v>
      </c>
      <c r="AG99" s="5">
        <v>3333.3333333333335</v>
      </c>
      <c r="AH99" s="5">
        <v>5000</v>
      </c>
      <c r="AI99" s="5">
        <v>6666.666666666667</v>
      </c>
      <c r="AJ99" s="5">
        <v>8333.3333333333339</v>
      </c>
      <c r="AK99" s="5"/>
      <c r="AL99" s="5"/>
      <c r="AM99" s="5"/>
      <c r="AN99" s="5"/>
      <c r="AO99" s="5"/>
      <c r="AP99" s="5"/>
      <c r="AQ99" s="5"/>
    </row>
    <row r="100" spans="1:43" x14ac:dyDescent="0.35">
      <c r="B100" s="33" t="s">
        <v>93</v>
      </c>
      <c r="C100" s="24" t="b">
        <v>0</v>
      </c>
      <c r="D100" s="24" t="b">
        <v>1</v>
      </c>
      <c r="E100" s="104">
        <f t="shared" si="6"/>
        <v>0</v>
      </c>
      <c r="F100" s="5">
        <v>0</v>
      </c>
      <c r="G100" s="5">
        <v>0</v>
      </c>
      <c r="H100" s="5">
        <v>0</v>
      </c>
      <c r="I100" s="5">
        <v>0</v>
      </c>
      <c r="J100" s="5">
        <v>0</v>
      </c>
      <c r="R100" s="104" cm="1">
        <f t="array" ref="R100">LOOKUP(2,1/(ISNUMBER(S100:AD100)),S100:AD100)</f>
        <v>483592.89</v>
      </c>
      <c r="S100" s="5">
        <v>54833.77</v>
      </c>
      <c r="T100" s="5">
        <v>292013.86</v>
      </c>
      <c r="U100" s="5">
        <v>340554.55</v>
      </c>
      <c r="V100" s="5">
        <v>406265.28</v>
      </c>
      <c r="W100" s="5">
        <v>483592.89</v>
      </c>
      <c r="X100" s="5"/>
      <c r="Y100" s="5"/>
      <c r="Z100" s="5"/>
      <c r="AA100" s="5"/>
      <c r="AB100" s="5"/>
      <c r="AC100" s="5"/>
      <c r="AD100" s="5"/>
      <c r="AE100" s="104" cm="1">
        <f t="array" ref="AE100">LOOKUP(2,1/(ISNUMBER(AF100:AQ100)),AF100:AQ100)</f>
        <v>-483592.89</v>
      </c>
      <c r="AF100" s="5">
        <v>-54833.77</v>
      </c>
      <c r="AG100" s="5">
        <v>-292013.86</v>
      </c>
      <c r="AH100" s="5">
        <v>-340554.55</v>
      </c>
      <c r="AI100" s="5">
        <v>-406265.28</v>
      </c>
      <c r="AJ100" s="5">
        <v>-483592.89</v>
      </c>
      <c r="AK100" s="5"/>
      <c r="AL100" s="5"/>
      <c r="AM100" s="5"/>
      <c r="AN100" s="5"/>
      <c r="AO100" s="5"/>
      <c r="AP100" s="5"/>
      <c r="AQ100" s="5"/>
    </row>
    <row r="101" spans="1:43" x14ac:dyDescent="0.35">
      <c r="B101" s="33" t="s">
        <v>65</v>
      </c>
      <c r="C101" s="24" t="b">
        <v>0</v>
      </c>
      <c r="D101" s="24" t="b">
        <v>1</v>
      </c>
      <c r="E101" s="104">
        <f t="shared" si="6"/>
        <v>125000</v>
      </c>
      <c r="F101" s="5">
        <v>25000</v>
      </c>
      <c r="G101" s="5">
        <v>50000</v>
      </c>
      <c r="H101" s="5">
        <v>75000</v>
      </c>
      <c r="I101" s="5">
        <v>100000</v>
      </c>
      <c r="J101" s="5">
        <v>125000</v>
      </c>
      <c r="R101" s="104" cm="1">
        <f t="array" ref="R101">LOOKUP(2,1/(ISNUMBER(S101:AD101)),S101:AD101)</f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/>
      <c r="Y101" s="5"/>
      <c r="Z101" s="5"/>
      <c r="AA101" s="5"/>
      <c r="AB101" s="5"/>
      <c r="AC101" s="5"/>
      <c r="AD101" s="5"/>
      <c r="AE101" s="104" cm="1">
        <f t="array" ref="AE101">LOOKUP(2,1/(ISNUMBER(AF101:AQ101)),AF101:AQ101)</f>
        <v>125000</v>
      </c>
      <c r="AF101" s="5">
        <v>25000</v>
      </c>
      <c r="AG101" s="5">
        <v>50000</v>
      </c>
      <c r="AH101" s="5">
        <v>75000</v>
      </c>
      <c r="AI101" s="5">
        <v>100000</v>
      </c>
      <c r="AJ101" s="5">
        <v>125000</v>
      </c>
      <c r="AK101" s="5"/>
      <c r="AL101" s="5"/>
      <c r="AM101" s="5"/>
      <c r="AN101" s="5"/>
      <c r="AO101" s="5"/>
      <c r="AP101" s="5"/>
      <c r="AQ101" s="5"/>
    </row>
    <row r="102" spans="1:43" x14ac:dyDescent="0.35">
      <c r="B102" s="36" t="s">
        <v>95</v>
      </c>
      <c r="C102" s="28" t="b">
        <v>0</v>
      </c>
      <c r="D102" s="28" t="b">
        <v>1</v>
      </c>
      <c r="E102" s="108">
        <f>MAX(F102:Q102)</f>
        <v>3300000</v>
      </c>
      <c r="F102" s="11">
        <v>660000</v>
      </c>
      <c r="G102" s="11">
        <v>1320000</v>
      </c>
      <c r="H102" s="11">
        <v>1980000</v>
      </c>
      <c r="I102" s="11">
        <v>2640000</v>
      </c>
      <c r="J102" s="11">
        <v>3300000</v>
      </c>
      <c r="K102" s="11"/>
      <c r="L102" s="11"/>
      <c r="M102" s="11"/>
      <c r="N102" s="11"/>
      <c r="O102" s="11"/>
      <c r="P102" s="11"/>
      <c r="Q102" s="11"/>
      <c r="R102" s="108" cm="1">
        <f t="array" ref="R102">LOOKUP(2,1/(ISNUMBER(S102:AD102)),S102:AD102)</f>
        <v>2491240.83</v>
      </c>
      <c r="S102" s="11">
        <v>378067.51</v>
      </c>
      <c r="T102" s="11">
        <v>962403.72</v>
      </c>
      <c r="U102" s="11">
        <v>1473775.02</v>
      </c>
      <c r="V102" s="11">
        <v>2030179.81</v>
      </c>
      <c r="W102" s="11">
        <v>2491240.83</v>
      </c>
      <c r="X102" s="11"/>
      <c r="Y102" s="11"/>
      <c r="Z102" s="11"/>
      <c r="AA102" s="11"/>
      <c r="AB102" s="11"/>
      <c r="AC102" s="11"/>
      <c r="AD102" s="11"/>
      <c r="AE102" s="108" cm="1">
        <f t="array" ref="AE102">LOOKUP(2,1/(ISNUMBER(AF102:AQ102)),AF102:AQ102)</f>
        <v>808759.17000000016</v>
      </c>
      <c r="AF102" s="11">
        <v>281932.49</v>
      </c>
      <c r="AG102" s="11">
        <v>357596.28</v>
      </c>
      <c r="AH102" s="11">
        <v>506224.98</v>
      </c>
      <c r="AI102" s="11">
        <v>609820.19000000006</v>
      </c>
      <c r="AJ102" s="11">
        <v>808759.17000000016</v>
      </c>
      <c r="AK102" s="11"/>
      <c r="AL102" s="11"/>
      <c r="AM102" s="11"/>
      <c r="AN102" s="11"/>
      <c r="AO102" s="11"/>
      <c r="AP102" s="11"/>
      <c r="AQ102" s="11"/>
    </row>
    <row r="103" spans="1:43" x14ac:dyDescent="0.35">
      <c r="B103" s="39" t="s">
        <v>96</v>
      </c>
      <c r="C103" s="29" t="b">
        <v>0</v>
      </c>
      <c r="D103" s="29" t="b">
        <v>1</v>
      </c>
      <c r="E103" s="110">
        <f>MAX(F103:Q103)</f>
        <v>5302491.6666666698</v>
      </c>
      <c r="F103" s="12">
        <v>1060498.333333334</v>
      </c>
      <c r="G103" s="12">
        <v>2120996.6666666679</v>
      </c>
      <c r="H103" s="12">
        <v>3181495.0000000019</v>
      </c>
      <c r="I103" s="12">
        <v>4241993.3333333358</v>
      </c>
      <c r="J103" s="12">
        <v>5302491.6666666698</v>
      </c>
      <c r="K103" s="12"/>
      <c r="L103" s="12"/>
      <c r="M103" s="12"/>
      <c r="N103" s="12"/>
      <c r="O103" s="12"/>
      <c r="P103" s="12"/>
      <c r="Q103" s="12"/>
      <c r="R103" s="110" cm="1">
        <f t="array" ref="R103">LOOKUP(2,1/(ISNUMBER(S103:AD103)),S103:AD103)</f>
        <v>28412117.079999998</v>
      </c>
      <c r="S103" s="12">
        <v>1129135.7200000009</v>
      </c>
      <c r="T103" s="12">
        <v>4055999.6600000011</v>
      </c>
      <c r="U103" s="12">
        <v>2598829.4299999997</v>
      </c>
      <c r="V103" s="12">
        <v>18007407.09</v>
      </c>
      <c r="W103" s="12">
        <v>28412117.079999998</v>
      </c>
      <c r="X103" s="12"/>
      <c r="Y103" s="12"/>
      <c r="Z103" s="12"/>
      <c r="AA103" s="12"/>
      <c r="AB103" s="12"/>
      <c r="AC103" s="12"/>
      <c r="AD103" s="12"/>
      <c r="AE103" s="110" cm="1">
        <f t="array" ref="AE103">LOOKUP(2,1/(ISNUMBER(AF103:AQ103)),AF103:AQ103)</f>
        <v>-23109625.413333327</v>
      </c>
      <c r="AF103" s="12">
        <v>-68637.386666666949</v>
      </c>
      <c r="AG103" s="12">
        <v>-1935002.9933333334</v>
      </c>
      <c r="AH103" s="12">
        <v>582665.57000000193</v>
      </c>
      <c r="AI103" s="12">
        <v>-13765413.756666664</v>
      </c>
      <c r="AJ103" s="12">
        <v>-23109625.413333327</v>
      </c>
      <c r="AK103" s="12"/>
      <c r="AL103" s="12"/>
      <c r="AM103" s="12"/>
      <c r="AN103" s="12"/>
      <c r="AO103" s="12"/>
      <c r="AP103" s="12"/>
      <c r="AQ103" s="12"/>
    </row>
    <row r="104" spans="1:43" x14ac:dyDescent="0.35">
      <c r="E104" s="111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11"/>
      <c r="S104" s="16"/>
      <c r="AE104" s="111"/>
      <c r="AF104" s="16"/>
    </row>
    <row r="105" spans="1:43" x14ac:dyDescent="0.35">
      <c r="B105" s="40" t="s">
        <v>97</v>
      </c>
      <c r="C105" s="30" t="b">
        <v>0</v>
      </c>
      <c r="D105" s="30" t="b">
        <v>1</v>
      </c>
      <c r="E105" s="112"/>
      <c r="F105" s="14">
        <v>0</v>
      </c>
      <c r="G105" s="14">
        <v>0</v>
      </c>
      <c r="H105" s="14">
        <v>0</v>
      </c>
      <c r="I105" s="14">
        <v>0</v>
      </c>
      <c r="J105" s="14">
        <v>0</v>
      </c>
      <c r="K105" s="14"/>
      <c r="L105" s="14"/>
      <c r="M105" s="14"/>
      <c r="N105" s="14"/>
      <c r="O105" s="14"/>
      <c r="P105" s="14"/>
      <c r="Q105" s="14"/>
      <c r="R105" s="112" cm="1">
        <f t="array" ref="R105">LOOKUP(2,1/(ISNUMBER(S105:AD105)),S105:AD105)</f>
        <v>0</v>
      </c>
      <c r="S105" s="14">
        <v>0</v>
      </c>
      <c r="T105" s="14">
        <v>0</v>
      </c>
      <c r="U105" s="14">
        <v>0</v>
      </c>
      <c r="V105" s="14">
        <v>0</v>
      </c>
      <c r="W105" s="14">
        <v>0</v>
      </c>
      <c r="X105" s="14"/>
      <c r="Y105" s="14"/>
      <c r="Z105" s="14"/>
      <c r="AA105" s="14"/>
      <c r="AB105" s="14"/>
      <c r="AC105" s="14"/>
      <c r="AD105" s="14"/>
      <c r="AE105" s="112" cm="1">
        <f t="array" ref="AE105">LOOKUP(2,1/(ISNUMBER(AF105:AQ105)),AF105:AQ105)</f>
        <v>0</v>
      </c>
      <c r="AF105" s="14">
        <v>0</v>
      </c>
      <c r="AG105" s="14">
        <v>0</v>
      </c>
      <c r="AH105" s="14">
        <v>0</v>
      </c>
      <c r="AI105" s="14">
        <v>0</v>
      </c>
      <c r="AJ105" s="14">
        <v>0</v>
      </c>
      <c r="AK105" s="14"/>
      <c r="AL105" s="14"/>
      <c r="AM105" s="14"/>
      <c r="AN105" s="14"/>
      <c r="AO105" s="14"/>
      <c r="AP105" s="14"/>
      <c r="AQ105" s="14"/>
    </row>
    <row r="106" spans="1:43" x14ac:dyDescent="0.35">
      <c r="B106" s="32" t="s">
        <v>98</v>
      </c>
      <c r="C106" s="23" t="b">
        <v>0</v>
      </c>
      <c r="D106" s="23" t="b">
        <v>1</v>
      </c>
      <c r="E106" s="103">
        <f>MAX(F106:Q106)</f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/>
      <c r="L106" s="4"/>
      <c r="M106" s="4"/>
      <c r="N106" s="4"/>
      <c r="O106" s="4"/>
      <c r="P106" s="4"/>
      <c r="Q106" s="4"/>
      <c r="R106" s="103" cm="1">
        <f t="array" ref="R106">LOOKUP(2,1/(ISNUMBER(S106:AD106)),S106:AD106)</f>
        <v>11562506</v>
      </c>
      <c r="S106" s="4">
        <v>11501448</v>
      </c>
      <c r="T106" s="4">
        <v>12295388</v>
      </c>
      <c r="U106" s="4">
        <v>10911731</v>
      </c>
      <c r="V106" s="4">
        <v>11900981</v>
      </c>
      <c r="W106" s="4">
        <v>11562506</v>
      </c>
      <c r="X106" s="4"/>
      <c r="Y106" s="4"/>
      <c r="Z106" s="4"/>
      <c r="AA106" s="4"/>
      <c r="AB106" s="4"/>
      <c r="AC106" s="4"/>
      <c r="AD106" s="4"/>
      <c r="AE106" s="103" cm="1">
        <f t="array" ref="AE106">LOOKUP(2,1/(ISNUMBER(AF106:AQ106)),AF106:AQ106)</f>
        <v>-11562506</v>
      </c>
      <c r="AF106" s="4">
        <v>-11501448</v>
      </c>
      <c r="AG106" s="4">
        <v>-12295388</v>
      </c>
      <c r="AH106" s="4">
        <v>-10911731</v>
      </c>
      <c r="AI106" s="4">
        <v>-11900981</v>
      </c>
      <c r="AJ106" s="4">
        <v>-11562506</v>
      </c>
      <c r="AK106" s="4"/>
      <c r="AL106" s="4"/>
      <c r="AM106" s="4"/>
      <c r="AN106" s="4"/>
      <c r="AO106" s="4"/>
      <c r="AP106" s="4"/>
      <c r="AQ106" s="4"/>
    </row>
    <row r="107" spans="1:43" x14ac:dyDescent="0.35">
      <c r="A107" s="16" t="s">
        <v>119</v>
      </c>
      <c r="B107" s="33" t="s">
        <v>99</v>
      </c>
      <c r="C107" s="24" t="b">
        <v>0</v>
      </c>
      <c r="D107" s="24" t="b">
        <v>1</v>
      </c>
      <c r="E107" s="104">
        <f>MAX(F107:Q107)</f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R107" s="104" cm="1">
        <f t="array" ref="R107">LOOKUP(2,1/(ISNUMBER(S107:AD107)),S107:AD107)</f>
        <v>11562506</v>
      </c>
      <c r="S107" s="5">
        <v>11501448</v>
      </c>
      <c r="T107" s="5">
        <v>12295388</v>
      </c>
      <c r="U107" s="5">
        <v>10911731</v>
      </c>
      <c r="V107" s="5">
        <v>11900981</v>
      </c>
      <c r="W107" s="5">
        <v>11562506</v>
      </c>
      <c r="X107" s="5"/>
      <c r="Y107" s="5"/>
      <c r="Z107" s="5"/>
      <c r="AA107" s="5"/>
      <c r="AB107" s="5"/>
      <c r="AC107" s="5"/>
      <c r="AD107" s="5"/>
      <c r="AE107" s="104" cm="1">
        <f t="array" ref="AE107">LOOKUP(2,1/(ISNUMBER(AF107:AQ107)),AF107:AQ107)</f>
        <v>-11562506</v>
      </c>
      <c r="AF107" s="5">
        <v>-11501448</v>
      </c>
      <c r="AG107" s="5">
        <v>-12295388</v>
      </c>
      <c r="AH107" s="5">
        <v>-10911731</v>
      </c>
      <c r="AI107" s="5">
        <v>-11900981</v>
      </c>
      <c r="AJ107" s="5">
        <v>-11562506</v>
      </c>
      <c r="AK107" s="5"/>
      <c r="AL107" s="5"/>
      <c r="AM107" s="5"/>
      <c r="AN107" s="5"/>
      <c r="AO107" s="5"/>
      <c r="AP107" s="5"/>
      <c r="AQ107" s="5"/>
    </row>
    <row r="108" spans="1:43" x14ac:dyDescent="0.35">
      <c r="A108" s="16" t="s">
        <v>119</v>
      </c>
      <c r="B108" s="33" t="s">
        <v>100</v>
      </c>
      <c r="C108" s="24" t="b">
        <v>0</v>
      </c>
      <c r="D108" s="24" t="b">
        <v>1</v>
      </c>
      <c r="E108" s="104">
        <f>MAX(F108:Q108)</f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R108" s="104" cm="1">
        <f t="array" ref="R108">LOOKUP(2,1/(ISNUMBER(S108:AD108)),S108:AD108)</f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/>
      <c r="Y108" s="5"/>
      <c r="Z108" s="5"/>
      <c r="AA108" s="5"/>
      <c r="AB108" s="5"/>
      <c r="AC108" s="5"/>
      <c r="AD108" s="5"/>
      <c r="AE108" s="104" cm="1">
        <f t="array" ref="AE108">LOOKUP(2,1/(ISNUMBER(AF108:AQ108)),AF108:AQ108)</f>
        <v>0</v>
      </c>
      <c r="AF108" s="5">
        <v>0</v>
      </c>
      <c r="AG108" s="5">
        <v>0</v>
      </c>
      <c r="AH108" s="5">
        <v>0</v>
      </c>
      <c r="AI108" s="5">
        <v>0</v>
      </c>
      <c r="AJ108" s="5">
        <v>0</v>
      </c>
      <c r="AK108" s="5"/>
      <c r="AL108" s="5"/>
      <c r="AM108" s="5"/>
      <c r="AN108" s="5"/>
      <c r="AO108" s="5"/>
      <c r="AP108" s="5"/>
      <c r="AQ108" s="5"/>
    </row>
    <row r="109" spans="1:43" x14ac:dyDescent="0.35">
      <c r="E109" s="111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11"/>
      <c r="S109" s="16"/>
      <c r="AE109" s="111"/>
      <c r="AF109" s="16"/>
    </row>
    <row r="110" spans="1:43" x14ac:dyDescent="0.35">
      <c r="B110" s="40" t="s">
        <v>101</v>
      </c>
      <c r="C110" s="30" t="b">
        <v>0</v>
      </c>
      <c r="D110" s="30" t="b">
        <v>1</v>
      </c>
      <c r="E110" s="113"/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/>
      <c r="L110" s="15"/>
      <c r="M110" s="15"/>
      <c r="N110" s="15"/>
      <c r="O110" s="15"/>
      <c r="P110" s="15"/>
      <c r="Q110" s="15"/>
      <c r="R110" s="113" cm="1">
        <f t="array" ref="R110">LOOKUP(2,1/(ISNUMBER(S110:AD110)),S110:AD110)</f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/>
      <c r="Y110" s="15"/>
      <c r="Z110" s="15"/>
      <c r="AA110" s="15"/>
      <c r="AB110" s="15"/>
      <c r="AC110" s="15"/>
      <c r="AD110" s="15"/>
      <c r="AE110" s="113" cm="1">
        <f t="array" ref="AE110">LOOKUP(2,1/(ISNUMBER(AF110:AQ110)),AF110:AQ110)</f>
        <v>0</v>
      </c>
      <c r="AF110" s="15">
        <v>0</v>
      </c>
      <c r="AG110" s="15">
        <v>0</v>
      </c>
      <c r="AH110" s="15">
        <v>0</v>
      </c>
      <c r="AI110" s="15">
        <v>0</v>
      </c>
      <c r="AJ110" s="15">
        <v>0</v>
      </c>
      <c r="AK110" s="15"/>
      <c r="AL110" s="15"/>
      <c r="AM110" s="15"/>
      <c r="AN110" s="15"/>
      <c r="AO110" s="15"/>
      <c r="AP110" s="15"/>
      <c r="AQ110" s="15"/>
    </row>
    <row r="111" spans="1:43" x14ac:dyDescent="0.35">
      <c r="B111" s="32" t="s">
        <v>98</v>
      </c>
      <c r="C111" s="23" t="b">
        <v>0</v>
      </c>
      <c r="D111" s="23" t="b">
        <v>1</v>
      </c>
      <c r="E111" s="103">
        <f>MAX(F111:Q111)</f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/>
      <c r="L111" s="4"/>
      <c r="M111" s="4"/>
      <c r="N111" s="4"/>
      <c r="O111" s="4"/>
      <c r="P111" s="4"/>
      <c r="Q111" s="4"/>
      <c r="R111" s="103" cm="1">
        <f t="array" ref="R111">LOOKUP(2,1/(ISNUMBER(S111:AD111)),S111:AD111)</f>
        <v>10924726</v>
      </c>
      <c r="S111" s="4">
        <v>13726546</v>
      </c>
      <c r="T111" s="4">
        <v>13570004</v>
      </c>
      <c r="U111" s="4">
        <v>13073575</v>
      </c>
      <c r="V111" s="4">
        <v>9566986</v>
      </c>
      <c r="W111" s="4">
        <v>10924726</v>
      </c>
      <c r="X111" s="4"/>
      <c r="Y111" s="4"/>
      <c r="Z111" s="4"/>
      <c r="AA111" s="4"/>
      <c r="AB111" s="4"/>
      <c r="AC111" s="4"/>
      <c r="AD111" s="4"/>
      <c r="AE111" s="103" cm="1">
        <f t="array" ref="AE111">LOOKUP(2,1/(ISNUMBER(AF111:AQ111)),AF111:AQ111)</f>
        <v>-10924726</v>
      </c>
      <c r="AF111" s="4">
        <v>-13726546</v>
      </c>
      <c r="AG111" s="4">
        <v>-13570004</v>
      </c>
      <c r="AH111" s="4">
        <v>-13073575</v>
      </c>
      <c r="AI111" s="4">
        <v>-9566986</v>
      </c>
      <c r="AJ111" s="4">
        <v>-10924726</v>
      </c>
      <c r="AK111" s="4"/>
      <c r="AL111" s="4"/>
      <c r="AM111" s="4"/>
      <c r="AN111" s="4"/>
      <c r="AO111" s="4"/>
      <c r="AP111" s="4"/>
      <c r="AQ111" s="4"/>
    </row>
    <row r="112" spans="1:43" x14ac:dyDescent="0.35">
      <c r="B112" s="33" t="s">
        <v>102</v>
      </c>
      <c r="C112" s="24" t="b">
        <v>0</v>
      </c>
      <c r="D112" s="24" t="b">
        <v>1</v>
      </c>
      <c r="E112" s="104">
        <f>MAX(F112:Q112)</f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R112" s="104" cm="1">
        <f t="array" ref="R112">LOOKUP(2,1/(ISNUMBER(S112:AD112)),S112:AD112)</f>
        <v>1617114</v>
      </c>
      <c r="S112" s="5">
        <v>1686353</v>
      </c>
      <c r="T112" s="5">
        <v>1689277</v>
      </c>
      <c r="U112" s="5">
        <v>1618179</v>
      </c>
      <c r="V112" s="5">
        <v>1657791</v>
      </c>
      <c r="W112" s="5">
        <v>1617114</v>
      </c>
      <c r="X112" s="5"/>
      <c r="Y112" s="5"/>
      <c r="Z112" s="5"/>
      <c r="AA112" s="5"/>
      <c r="AB112" s="5"/>
      <c r="AC112" s="5"/>
      <c r="AD112" s="5"/>
      <c r="AE112" s="104" cm="1">
        <f t="array" ref="AE112">LOOKUP(2,1/(ISNUMBER(AF112:AQ112)),AF112:AQ112)</f>
        <v>-1617114</v>
      </c>
      <c r="AF112" s="5">
        <v>-1686353</v>
      </c>
      <c r="AG112" s="5">
        <v>-1689277</v>
      </c>
      <c r="AH112" s="5">
        <v>-1618179</v>
      </c>
      <c r="AI112" s="5">
        <v>-1657791</v>
      </c>
      <c r="AJ112" s="5">
        <v>-1617114</v>
      </c>
      <c r="AK112" s="5"/>
      <c r="AL112" s="5"/>
      <c r="AM112" s="5"/>
      <c r="AN112" s="5"/>
      <c r="AO112" s="5"/>
      <c r="AP112" s="5"/>
      <c r="AQ112" s="5"/>
    </row>
    <row r="113" spans="2:43" x14ac:dyDescent="0.35">
      <c r="B113" s="33" t="s">
        <v>103</v>
      </c>
      <c r="C113" s="24" t="b">
        <v>0</v>
      </c>
      <c r="D113" s="24" t="b">
        <v>1</v>
      </c>
      <c r="E113" s="104">
        <f>MAX(F113:Q113)</f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R113" s="104" cm="1">
        <f t="array" ref="R113">LOOKUP(2,1/(ISNUMBER(S113:AD113)),S113:AD113)</f>
        <v>1202860</v>
      </c>
      <c r="S113" s="5">
        <v>925824</v>
      </c>
      <c r="T113" s="5">
        <v>1106984</v>
      </c>
      <c r="U113" s="5">
        <v>1376607</v>
      </c>
      <c r="V113" s="5">
        <v>1911063</v>
      </c>
      <c r="W113" s="5">
        <v>1202860</v>
      </c>
      <c r="X113" s="5"/>
      <c r="Y113" s="5"/>
      <c r="Z113" s="5"/>
      <c r="AA113" s="5"/>
      <c r="AB113" s="5"/>
      <c r="AC113" s="5"/>
      <c r="AD113" s="5"/>
      <c r="AE113" s="104" cm="1">
        <f t="array" ref="AE113">LOOKUP(2,1/(ISNUMBER(AF113:AQ113)),AF113:AQ113)</f>
        <v>-1202860</v>
      </c>
      <c r="AF113" s="5">
        <v>-925824</v>
      </c>
      <c r="AG113" s="5">
        <v>-1106984</v>
      </c>
      <c r="AH113" s="5">
        <v>-1376607</v>
      </c>
      <c r="AI113" s="5">
        <v>-1911063</v>
      </c>
      <c r="AJ113" s="5">
        <v>-1202860</v>
      </c>
      <c r="AK113" s="5"/>
      <c r="AL113" s="5"/>
      <c r="AM113" s="5"/>
      <c r="AN113" s="5"/>
      <c r="AO113" s="5"/>
      <c r="AP113" s="5"/>
      <c r="AQ113" s="5"/>
    </row>
    <row r="114" spans="2:43" x14ac:dyDescent="0.35">
      <c r="B114" s="33" t="s">
        <v>104</v>
      </c>
      <c r="C114" s="24" t="b">
        <v>0</v>
      </c>
      <c r="D114" s="24" t="b">
        <v>1</v>
      </c>
      <c r="E114" s="104">
        <f>MAX(F114:Q114)</f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R114" s="104" cm="1">
        <f t="array" ref="R114">LOOKUP(2,1/(ISNUMBER(S114:AD114)),S114:AD114)</f>
        <v>8104752</v>
      </c>
      <c r="S114" s="5">
        <v>11114369</v>
      </c>
      <c r="T114" s="5">
        <v>10773743</v>
      </c>
      <c r="U114" s="5">
        <v>10078789</v>
      </c>
      <c r="V114" s="5">
        <v>5998132</v>
      </c>
      <c r="W114" s="5">
        <v>8104752</v>
      </c>
      <c r="X114" s="5"/>
      <c r="Y114" s="5"/>
      <c r="Z114" s="5"/>
      <c r="AA114" s="5"/>
      <c r="AB114" s="5"/>
      <c r="AC114" s="5"/>
      <c r="AD114" s="5"/>
      <c r="AE114" s="104" cm="1">
        <f t="array" ref="AE114">LOOKUP(2,1/(ISNUMBER(AF114:AQ114)),AF114:AQ114)</f>
        <v>-8104752</v>
      </c>
      <c r="AF114" s="5">
        <v>-11114369</v>
      </c>
      <c r="AG114" s="5">
        <v>-10773743</v>
      </c>
      <c r="AH114" s="5">
        <v>-10078789</v>
      </c>
      <c r="AI114" s="5">
        <v>-5998132</v>
      </c>
      <c r="AJ114" s="5">
        <v>-8104752</v>
      </c>
      <c r="AK114" s="5"/>
      <c r="AL114" s="5"/>
      <c r="AM114" s="5"/>
      <c r="AN114" s="5"/>
      <c r="AO114" s="5"/>
      <c r="AP114" s="5"/>
      <c r="AQ114" s="5"/>
    </row>
    <row r="115" spans="2:43" x14ac:dyDescent="0.35">
      <c r="E115" s="111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11"/>
      <c r="S115" s="16"/>
      <c r="AE115" s="111"/>
      <c r="AF115" s="16"/>
    </row>
    <row r="116" spans="2:43" x14ac:dyDescent="0.35">
      <c r="B116" s="40" t="s">
        <v>107</v>
      </c>
      <c r="C116" s="46"/>
      <c r="D116" s="46"/>
      <c r="E116" s="113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13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13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</row>
    <row r="117" spans="2:43" x14ac:dyDescent="0.35">
      <c r="B117" s="33" t="s">
        <v>105</v>
      </c>
      <c r="C117" s="24" t="b">
        <v>0</v>
      </c>
      <c r="D117" s="24" t="b">
        <v>1</v>
      </c>
      <c r="E117" s="104">
        <f>MAX(F117:Q117)</f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R117" s="104" cm="1">
        <f t="array" ref="R117">LOOKUP(2,1/(ISNUMBER(S117:AD117)),S117:AD117)</f>
        <v>8081079</v>
      </c>
      <c r="S117" s="5">
        <v>10562085</v>
      </c>
      <c r="T117" s="5">
        <v>8215939</v>
      </c>
      <c r="U117" s="5">
        <v>11788059</v>
      </c>
      <c r="V117" s="5">
        <v>10887848</v>
      </c>
      <c r="W117" s="5">
        <v>8081079</v>
      </c>
      <c r="X117" s="5"/>
      <c r="Y117" s="5"/>
      <c r="Z117" s="5"/>
      <c r="AA117" s="5"/>
      <c r="AB117" s="5"/>
      <c r="AC117" s="5"/>
      <c r="AD117" s="5"/>
      <c r="AE117" s="104" cm="1">
        <f t="array" ref="AE117">LOOKUP(2,1/(ISNUMBER(AF117:AQ117)),AF117:AQ117)</f>
        <v>-8081079</v>
      </c>
      <c r="AF117" s="5">
        <v>-10562085</v>
      </c>
      <c r="AG117" s="5">
        <v>-8215939</v>
      </c>
      <c r="AH117" s="5">
        <v>-11788059</v>
      </c>
      <c r="AI117" s="5">
        <v>-10887848</v>
      </c>
      <c r="AJ117" s="5">
        <v>-8081079</v>
      </c>
      <c r="AK117" s="5"/>
      <c r="AL117" s="5"/>
      <c r="AM117" s="5"/>
      <c r="AN117" s="5"/>
      <c r="AO117" s="5"/>
      <c r="AP117" s="5"/>
      <c r="AQ117" s="5"/>
    </row>
  </sheetData>
  <sheetProtection formatColumns="0" pivotTables="0"/>
  <dataConsolidate/>
  <conditionalFormatting sqref="AF7:AQ52 AF54:AQ103">
    <cfRule type="cellIs" dxfId="46" priority="3" operator="lessThan">
      <formula>0</formula>
    </cfRule>
  </conditionalFormatting>
  <conditionalFormatting sqref="AF93:AQ93">
    <cfRule type="cellIs" dxfId="45" priority="1" operator="lessThan">
      <formula>0</formula>
    </cfRule>
  </conditionalFormatting>
  <conditionalFormatting sqref="AF103:AQ103">
    <cfRule type="cellIs" dxfId="44" priority="2" operator="lessThan">
      <formula>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9FC06-C0FF-45E6-B862-3B4C0CD952AE}">
  <sheetPr codeName="List1"/>
  <dimension ref="B2:D293"/>
  <sheetViews>
    <sheetView showGridLines="0" showRowColHeaders="0" workbookViewId="0">
      <selection activeCell="D4" sqref="D4"/>
    </sheetView>
  </sheetViews>
  <sheetFormatPr defaultRowHeight="15" x14ac:dyDescent="0.35"/>
  <cols>
    <col min="1" max="1" width="42.6640625" customWidth="1"/>
    <col min="2" max="2" width="32.44140625" bestFit="1" customWidth="1"/>
    <col min="3" max="3" width="52.33203125" bestFit="1" customWidth="1"/>
    <col min="4" max="40" width="14.33203125" customWidth="1"/>
  </cols>
  <sheetData>
    <row r="2" spans="2:4" ht="51" customHeight="1" x14ac:dyDescent="0.35"/>
    <row r="4" spans="2:4" x14ac:dyDescent="0.35">
      <c r="D4" s="50" t="s">
        <v>50</v>
      </c>
    </row>
    <row r="5" spans="2:4" x14ac:dyDescent="0.35">
      <c r="B5" t="s">
        <v>296</v>
      </c>
      <c r="D5" s="49">
        <v>208393</v>
      </c>
    </row>
    <row r="6" spans="2:4" x14ac:dyDescent="0.35">
      <c r="C6" t="s">
        <v>571</v>
      </c>
      <c r="D6" s="49">
        <v>2391</v>
      </c>
    </row>
    <row r="7" spans="2:4" x14ac:dyDescent="0.35">
      <c r="C7" t="s">
        <v>291</v>
      </c>
      <c r="D7" s="49">
        <v>74041</v>
      </c>
    </row>
    <row r="8" spans="2:4" x14ac:dyDescent="0.35">
      <c r="C8" t="s">
        <v>528</v>
      </c>
      <c r="D8" s="49">
        <v>73320</v>
      </c>
    </row>
    <row r="9" spans="2:4" x14ac:dyDescent="0.35">
      <c r="C9" t="s">
        <v>293</v>
      </c>
      <c r="D9" s="49">
        <v>36906</v>
      </c>
    </row>
    <row r="10" spans="2:4" x14ac:dyDescent="0.35">
      <c r="C10" t="s">
        <v>554</v>
      </c>
      <c r="D10" s="49">
        <v>21735</v>
      </c>
    </row>
    <row r="11" spans="2:4" x14ac:dyDescent="0.35">
      <c r="C11" t="s">
        <v>132</v>
      </c>
      <c r="D11" s="49">
        <v>0</v>
      </c>
    </row>
    <row r="12" spans="2:4" x14ac:dyDescent="0.35">
      <c r="B12" t="s">
        <v>59</v>
      </c>
      <c r="D12" s="49">
        <v>70442</v>
      </c>
    </row>
    <row r="13" spans="2:4" x14ac:dyDescent="0.35">
      <c r="C13" t="s">
        <v>133</v>
      </c>
      <c r="D13" s="49">
        <v>70442</v>
      </c>
    </row>
    <row r="14" spans="2:4" x14ac:dyDescent="0.35">
      <c r="B14" t="s">
        <v>71</v>
      </c>
      <c r="D14" s="49">
        <v>25805</v>
      </c>
    </row>
    <row r="15" spans="2:4" x14ac:dyDescent="0.35">
      <c r="C15" t="s">
        <v>558</v>
      </c>
      <c r="D15" s="49">
        <v>25805</v>
      </c>
    </row>
    <row r="16" spans="2:4" x14ac:dyDescent="0.35">
      <c r="B16" t="s">
        <v>38</v>
      </c>
      <c r="D16" s="49">
        <v>162708</v>
      </c>
    </row>
    <row r="17" spans="2:4" x14ac:dyDescent="0.35">
      <c r="C17" t="s">
        <v>122</v>
      </c>
      <c r="D17" s="49">
        <v>162708</v>
      </c>
    </row>
    <row r="18" spans="2:4" x14ac:dyDescent="0.35">
      <c r="B18" t="s">
        <v>6</v>
      </c>
      <c r="D18" s="49">
        <v>1082328</v>
      </c>
    </row>
    <row r="19" spans="2:4" x14ac:dyDescent="0.35">
      <c r="C19" t="s">
        <v>138</v>
      </c>
      <c r="D19" s="49">
        <v>208659</v>
      </c>
    </row>
    <row r="20" spans="2:4" x14ac:dyDescent="0.35">
      <c r="C20" t="s">
        <v>135</v>
      </c>
      <c r="D20" s="49">
        <v>192935</v>
      </c>
    </row>
    <row r="21" spans="2:4" x14ac:dyDescent="0.35">
      <c r="C21" t="s">
        <v>137</v>
      </c>
      <c r="D21" s="49">
        <v>314784</v>
      </c>
    </row>
    <row r="22" spans="2:4" x14ac:dyDescent="0.35">
      <c r="C22" t="s">
        <v>136</v>
      </c>
      <c r="D22" s="49">
        <v>365950</v>
      </c>
    </row>
    <row r="23" spans="2:4" x14ac:dyDescent="0.35">
      <c r="B23" t="s">
        <v>533</v>
      </c>
      <c r="D23" s="49">
        <v>0</v>
      </c>
    </row>
    <row r="24" spans="2:4" x14ac:dyDescent="0.35">
      <c r="C24" t="s">
        <v>533</v>
      </c>
      <c r="D24" s="49">
        <v>0</v>
      </c>
    </row>
    <row r="25" spans="2:4" x14ac:dyDescent="0.35">
      <c r="B25" t="s">
        <v>535</v>
      </c>
      <c r="D25" s="49">
        <v>0</v>
      </c>
    </row>
    <row r="26" spans="2:4" x14ac:dyDescent="0.35">
      <c r="C26" t="s">
        <v>535</v>
      </c>
      <c r="D26" s="49">
        <v>0</v>
      </c>
    </row>
    <row r="27" spans="2:4" x14ac:dyDescent="0.35">
      <c r="B27" t="s">
        <v>62</v>
      </c>
      <c r="D27" s="49">
        <v>213276</v>
      </c>
    </row>
    <row r="28" spans="2:4" x14ac:dyDescent="0.35">
      <c r="C28" t="s">
        <v>261</v>
      </c>
      <c r="D28" s="49">
        <v>13762</v>
      </c>
    </row>
    <row r="29" spans="2:4" x14ac:dyDescent="0.35">
      <c r="C29" t="s">
        <v>139</v>
      </c>
      <c r="D29" s="49">
        <v>1653</v>
      </c>
    </row>
    <row r="30" spans="2:4" x14ac:dyDescent="0.35">
      <c r="C30" t="s">
        <v>517</v>
      </c>
      <c r="D30" s="49">
        <v>2000</v>
      </c>
    </row>
    <row r="31" spans="2:4" x14ac:dyDescent="0.35">
      <c r="C31" t="s">
        <v>140</v>
      </c>
      <c r="D31" s="49">
        <v>0</v>
      </c>
    </row>
    <row r="32" spans="2:4" x14ac:dyDescent="0.35">
      <c r="C32" t="s">
        <v>288</v>
      </c>
      <c r="D32" s="49">
        <v>7791</v>
      </c>
    </row>
    <row r="33" spans="2:4" x14ac:dyDescent="0.35">
      <c r="C33" t="s">
        <v>141</v>
      </c>
      <c r="D33" s="49">
        <v>0</v>
      </c>
    </row>
    <row r="34" spans="2:4" x14ac:dyDescent="0.35">
      <c r="C34" t="s">
        <v>260</v>
      </c>
      <c r="D34" s="49">
        <v>188070</v>
      </c>
    </row>
    <row r="35" spans="2:4" x14ac:dyDescent="0.35">
      <c r="B35" t="s">
        <v>19</v>
      </c>
      <c r="D35" s="49">
        <v>7723</v>
      </c>
    </row>
    <row r="36" spans="2:4" x14ac:dyDescent="0.35">
      <c r="C36" t="s">
        <v>142</v>
      </c>
      <c r="D36" s="49">
        <v>7723</v>
      </c>
    </row>
    <row r="37" spans="2:4" x14ac:dyDescent="0.35">
      <c r="B37" t="s">
        <v>31</v>
      </c>
      <c r="D37" s="49">
        <v>2210443</v>
      </c>
    </row>
    <row r="38" spans="2:4" x14ac:dyDescent="0.35">
      <c r="C38" t="s">
        <v>143</v>
      </c>
      <c r="D38" s="49">
        <v>2210443</v>
      </c>
    </row>
    <row r="39" spans="2:4" x14ac:dyDescent="0.35">
      <c r="B39" t="s">
        <v>91</v>
      </c>
      <c r="D39" s="49">
        <v>3068471.5200000005</v>
      </c>
    </row>
    <row r="40" spans="2:4" x14ac:dyDescent="0.35">
      <c r="C40" t="s">
        <v>523</v>
      </c>
      <c r="D40" s="49">
        <v>0</v>
      </c>
    </row>
    <row r="41" spans="2:4" x14ac:dyDescent="0.35">
      <c r="C41" t="s">
        <v>531</v>
      </c>
      <c r="D41" s="49">
        <v>120088.64</v>
      </c>
    </row>
    <row r="42" spans="2:4" x14ac:dyDescent="0.35">
      <c r="C42" t="s">
        <v>300</v>
      </c>
      <c r="D42" s="49">
        <v>0</v>
      </c>
    </row>
    <row r="43" spans="2:4" x14ac:dyDescent="0.35">
      <c r="C43" t="s">
        <v>502</v>
      </c>
      <c r="D43" s="49">
        <v>0</v>
      </c>
    </row>
    <row r="44" spans="2:4" x14ac:dyDescent="0.35">
      <c r="C44" t="s">
        <v>521</v>
      </c>
      <c r="D44" s="49">
        <v>0</v>
      </c>
    </row>
    <row r="45" spans="2:4" x14ac:dyDescent="0.35">
      <c r="C45" t="s">
        <v>497</v>
      </c>
      <c r="D45" s="49">
        <v>251638.74</v>
      </c>
    </row>
    <row r="46" spans="2:4" x14ac:dyDescent="0.35">
      <c r="C46" t="s">
        <v>525</v>
      </c>
      <c r="D46" s="49">
        <v>0</v>
      </c>
    </row>
    <row r="47" spans="2:4" x14ac:dyDescent="0.35">
      <c r="C47" t="s">
        <v>537</v>
      </c>
      <c r="D47" s="49">
        <v>2696744.14</v>
      </c>
    </row>
    <row r="48" spans="2:4" x14ac:dyDescent="0.35">
      <c r="B48" t="s">
        <v>26</v>
      </c>
      <c r="D48" s="49">
        <v>116825</v>
      </c>
    </row>
    <row r="49" spans="2:4" x14ac:dyDescent="0.35">
      <c r="C49" t="s">
        <v>144</v>
      </c>
      <c r="D49" s="49">
        <v>116825</v>
      </c>
    </row>
    <row r="50" spans="2:4" x14ac:dyDescent="0.35">
      <c r="B50" t="s">
        <v>41</v>
      </c>
      <c r="D50" s="49">
        <v>154012</v>
      </c>
    </row>
    <row r="51" spans="2:4" x14ac:dyDescent="0.35">
      <c r="C51" t="s">
        <v>145</v>
      </c>
      <c r="D51" s="49">
        <v>154012</v>
      </c>
    </row>
    <row r="52" spans="2:4" x14ac:dyDescent="0.35">
      <c r="B52" t="s">
        <v>42</v>
      </c>
      <c r="D52" s="49">
        <v>4157</v>
      </c>
    </row>
    <row r="53" spans="2:4" x14ac:dyDescent="0.35">
      <c r="C53" t="s">
        <v>146</v>
      </c>
      <c r="D53" s="49">
        <v>4157</v>
      </c>
    </row>
    <row r="54" spans="2:4" x14ac:dyDescent="0.35">
      <c r="B54" t="s">
        <v>7</v>
      </c>
      <c r="D54" s="49">
        <v>361340</v>
      </c>
    </row>
    <row r="55" spans="2:4" x14ac:dyDescent="0.35">
      <c r="C55" t="s">
        <v>147</v>
      </c>
      <c r="D55" s="49">
        <v>361340</v>
      </c>
    </row>
    <row r="56" spans="2:4" x14ac:dyDescent="0.35">
      <c r="B56" t="s">
        <v>67</v>
      </c>
      <c r="D56" s="49">
        <v>917078</v>
      </c>
    </row>
    <row r="57" spans="2:4" x14ac:dyDescent="0.35">
      <c r="C57" t="s">
        <v>152</v>
      </c>
      <c r="D57" s="49">
        <v>170123</v>
      </c>
    </row>
    <row r="58" spans="2:4" x14ac:dyDescent="0.35">
      <c r="C58" t="s">
        <v>151</v>
      </c>
      <c r="D58" s="49">
        <v>124570</v>
      </c>
    </row>
    <row r="59" spans="2:4" x14ac:dyDescent="0.35">
      <c r="C59" t="s">
        <v>148</v>
      </c>
      <c r="D59" s="49">
        <v>63820</v>
      </c>
    </row>
    <row r="60" spans="2:4" x14ac:dyDescent="0.35">
      <c r="C60" t="s">
        <v>149</v>
      </c>
      <c r="D60" s="49">
        <v>38776</v>
      </c>
    </row>
    <row r="61" spans="2:4" x14ac:dyDescent="0.35">
      <c r="C61" t="s">
        <v>539</v>
      </c>
      <c r="D61" s="49">
        <v>0</v>
      </c>
    </row>
    <row r="62" spans="2:4" x14ac:dyDescent="0.35">
      <c r="C62" t="s">
        <v>150</v>
      </c>
      <c r="D62" s="49">
        <v>519789</v>
      </c>
    </row>
    <row r="63" spans="2:4" x14ac:dyDescent="0.35">
      <c r="B63" t="s">
        <v>93</v>
      </c>
      <c r="D63" s="49">
        <v>1007821.0799999998</v>
      </c>
    </row>
    <row r="64" spans="2:4" x14ac:dyDescent="0.35">
      <c r="C64" t="s">
        <v>281</v>
      </c>
      <c r="D64" s="49">
        <v>175714.1</v>
      </c>
    </row>
    <row r="65" spans="2:4" x14ac:dyDescent="0.35">
      <c r="C65" t="s">
        <v>154</v>
      </c>
      <c r="D65" s="49">
        <v>448795</v>
      </c>
    </row>
    <row r="66" spans="2:4" x14ac:dyDescent="0.35">
      <c r="C66" t="s">
        <v>153</v>
      </c>
      <c r="D66" s="49">
        <v>383311.98000000016</v>
      </c>
    </row>
    <row r="67" spans="2:4" x14ac:dyDescent="0.35">
      <c r="B67" t="s">
        <v>89</v>
      </c>
      <c r="D67" s="49">
        <v>2286928.8400000008</v>
      </c>
    </row>
    <row r="68" spans="2:4" x14ac:dyDescent="0.35">
      <c r="C68" t="s">
        <v>156</v>
      </c>
      <c r="D68" s="49">
        <v>2885173.4800000004</v>
      </c>
    </row>
    <row r="69" spans="2:4" x14ac:dyDescent="0.35">
      <c r="C69" t="s">
        <v>155</v>
      </c>
      <c r="D69" s="49">
        <v>-598244.6399999999</v>
      </c>
    </row>
    <row r="70" spans="2:4" x14ac:dyDescent="0.35">
      <c r="B70" t="s">
        <v>61</v>
      </c>
      <c r="D70" s="49">
        <v>125066</v>
      </c>
    </row>
    <row r="71" spans="2:4" x14ac:dyDescent="0.35">
      <c r="C71" t="s">
        <v>262</v>
      </c>
      <c r="D71" s="49">
        <v>125066</v>
      </c>
    </row>
    <row r="72" spans="2:4" x14ac:dyDescent="0.35">
      <c r="B72" t="s">
        <v>8</v>
      </c>
      <c r="D72" s="49">
        <v>43405</v>
      </c>
    </row>
    <row r="73" spans="2:4" x14ac:dyDescent="0.35">
      <c r="C73" t="s">
        <v>157</v>
      </c>
      <c r="D73" s="49">
        <v>43405</v>
      </c>
    </row>
    <row r="74" spans="2:4" x14ac:dyDescent="0.35">
      <c r="B74" t="s">
        <v>487</v>
      </c>
      <c r="D74" s="49">
        <v>11300</v>
      </c>
    </row>
    <row r="75" spans="2:4" x14ac:dyDescent="0.35">
      <c r="C75" t="s">
        <v>488</v>
      </c>
      <c r="D75" s="49">
        <v>11300</v>
      </c>
    </row>
    <row r="76" spans="2:4" x14ac:dyDescent="0.35">
      <c r="B76" t="s">
        <v>20</v>
      </c>
      <c r="D76" s="49">
        <v>13965311</v>
      </c>
    </row>
    <row r="77" spans="2:4" x14ac:dyDescent="0.35">
      <c r="C77" t="s">
        <v>158</v>
      </c>
      <c r="D77" s="49">
        <v>13965311</v>
      </c>
    </row>
    <row r="78" spans="2:4" x14ac:dyDescent="0.35">
      <c r="B78" t="s">
        <v>21</v>
      </c>
      <c r="D78" s="49">
        <v>997390</v>
      </c>
    </row>
    <row r="79" spans="2:4" x14ac:dyDescent="0.35">
      <c r="C79" t="s">
        <v>159</v>
      </c>
      <c r="D79" s="49">
        <v>997390</v>
      </c>
    </row>
    <row r="80" spans="2:4" x14ac:dyDescent="0.35">
      <c r="B80" t="s">
        <v>160</v>
      </c>
      <c r="D80" s="49">
        <v>981714</v>
      </c>
    </row>
    <row r="81" spans="2:4" x14ac:dyDescent="0.35">
      <c r="C81" t="s">
        <v>161</v>
      </c>
      <c r="D81" s="49">
        <v>981714</v>
      </c>
    </row>
    <row r="82" spans="2:4" x14ac:dyDescent="0.35">
      <c r="B82" t="s">
        <v>32</v>
      </c>
      <c r="D82" s="49">
        <v>56465</v>
      </c>
    </row>
    <row r="83" spans="2:4" x14ac:dyDescent="0.35">
      <c r="C83" t="s">
        <v>162</v>
      </c>
      <c r="D83" s="49">
        <v>56465</v>
      </c>
    </row>
    <row r="84" spans="2:4" x14ac:dyDescent="0.35">
      <c r="B84" t="s">
        <v>163</v>
      </c>
      <c r="D84" s="49">
        <v>5999</v>
      </c>
    </row>
    <row r="85" spans="2:4" x14ac:dyDescent="0.35">
      <c r="C85" t="s">
        <v>164</v>
      </c>
      <c r="D85" s="49">
        <v>5999</v>
      </c>
    </row>
    <row r="86" spans="2:4" x14ac:dyDescent="0.35">
      <c r="B86" t="s">
        <v>22</v>
      </c>
      <c r="D86" s="49">
        <v>49648</v>
      </c>
    </row>
    <row r="87" spans="2:4" x14ac:dyDescent="0.35">
      <c r="C87" t="s">
        <v>165</v>
      </c>
      <c r="D87" s="49">
        <v>49648</v>
      </c>
    </row>
    <row r="88" spans="2:4" x14ac:dyDescent="0.35">
      <c r="B88" t="s">
        <v>27</v>
      </c>
      <c r="D88" s="49">
        <v>512953</v>
      </c>
    </row>
    <row r="89" spans="2:4" x14ac:dyDescent="0.35">
      <c r="C89" t="s">
        <v>166</v>
      </c>
      <c r="D89" s="49">
        <v>512953</v>
      </c>
    </row>
    <row r="90" spans="2:4" x14ac:dyDescent="0.35">
      <c r="B90" t="s">
        <v>167</v>
      </c>
      <c r="D90" s="49">
        <v>9445815</v>
      </c>
    </row>
    <row r="91" spans="2:4" x14ac:dyDescent="0.35">
      <c r="C91" t="s">
        <v>167</v>
      </c>
      <c r="D91" s="49">
        <v>9445815</v>
      </c>
    </row>
    <row r="92" spans="2:4" x14ac:dyDescent="0.35">
      <c r="B92" t="s">
        <v>9</v>
      </c>
      <c r="D92" s="49">
        <v>240875</v>
      </c>
    </row>
    <row r="93" spans="2:4" x14ac:dyDescent="0.35">
      <c r="C93" t="s">
        <v>168</v>
      </c>
      <c r="D93" s="49">
        <v>76433</v>
      </c>
    </row>
    <row r="94" spans="2:4" x14ac:dyDescent="0.35">
      <c r="C94" t="s">
        <v>169</v>
      </c>
      <c r="D94" s="49">
        <v>164442</v>
      </c>
    </row>
    <row r="95" spans="2:4" x14ac:dyDescent="0.35">
      <c r="B95" t="s">
        <v>72</v>
      </c>
      <c r="D95" s="49">
        <v>1115064</v>
      </c>
    </row>
    <row r="96" spans="2:4" x14ac:dyDescent="0.35">
      <c r="C96" t="s">
        <v>170</v>
      </c>
      <c r="D96" s="49">
        <v>1115064</v>
      </c>
    </row>
    <row r="97" spans="2:4" x14ac:dyDescent="0.35">
      <c r="B97" t="s">
        <v>39</v>
      </c>
      <c r="D97" s="49">
        <v>166376</v>
      </c>
    </row>
    <row r="98" spans="2:4" x14ac:dyDescent="0.35">
      <c r="C98" t="s">
        <v>171</v>
      </c>
      <c r="D98" s="49">
        <v>166376</v>
      </c>
    </row>
    <row r="99" spans="2:4" x14ac:dyDescent="0.35">
      <c r="B99" t="s">
        <v>10</v>
      </c>
      <c r="D99" s="49">
        <v>198144</v>
      </c>
    </row>
    <row r="100" spans="2:4" x14ac:dyDescent="0.35">
      <c r="C100" t="s">
        <v>172</v>
      </c>
      <c r="D100" s="49">
        <v>198144</v>
      </c>
    </row>
    <row r="101" spans="2:4" x14ac:dyDescent="0.35">
      <c r="C101" t="s">
        <v>499</v>
      </c>
      <c r="D101" s="49">
        <v>0</v>
      </c>
    </row>
    <row r="102" spans="2:4" x14ac:dyDescent="0.35">
      <c r="B102" t="s">
        <v>563</v>
      </c>
      <c r="D102" s="49">
        <v>4293980</v>
      </c>
    </row>
    <row r="103" spans="2:4" x14ac:dyDescent="0.35">
      <c r="C103" t="s">
        <v>564</v>
      </c>
      <c r="D103" s="49">
        <v>4293980</v>
      </c>
    </row>
    <row r="104" spans="2:4" x14ac:dyDescent="0.35">
      <c r="B104" t="s">
        <v>66</v>
      </c>
      <c r="D104" s="49">
        <v>5663668</v>
      </c>
    </row>
    <row r="105" spans="2:4" x14ac:dyDescent="0.35">
      <c r="C105" t="s">
        <v>174</v>
      </c>
      <c r="D105" s="49">
        <v>708769</v>
      </c>
    </row>
    <row r="106" spans="2:4" x14ac:dyDescent="0.35">
      <c r="C106" t="s">
        <v>173</v>
      </c>
      <c r="D106" s="49">
        <v>4112135</v>
      </c>
    </row>
    <row r="107" spans="2:4" x14ac:dyDescent="0.35">
      <c r="C107" t="s">
        <v>263</v>
      </c>
      <c r="D107" s="49">
        <v>0</v>
      </c>
    </row>
    <row r="108" spans="2:4" x14ac:dyDescent="0.35">
      <c r="C108" t="s">
        <v>541</v>
      </c>
      <c r="D108" s="49">
        <v>0</v>
      </c>
    </row>
    <row r="109" spans="2:4" x14ac:dyDescent="0.35">
      <c r="C109" t="s">
        <v>176</v>
      </c>
      <c r="D109" s="49">
        <v>435544</v>
      </c>
    </row>
    <row r="110" spans="2:4" x14ac:dyDescent="0.35">
      <c r="C110" t="s">
        <v>178</v>
      </c>
      <c r="D110" s="49">
        <v>0</v>
      </c>
    </row>
    <row r="111" spans="2:4" x14ac:dyDescent="0.35">
      <c r="C111" t="s">
        <v>177</v>
      </c>
      <c r="D111" s="49">
        <v>402390</v>
      </c>
    </row>
    <row r="112" spans="2:4" x14ac:dyDescent="0.35">
      <c r="C112" t="s">
        <v>175</v>
      </c>
      <c r="D112" s="49">
        <v>4830</v>
      </c>
    </row>
    <row r="113" spans="2:4" x14ac:dyDescent="0.35">
      <c r="B113" t="s">
        <v>11</v>
      </c>
      <c r="D113" s="49">
        <v>127385</v>
      </c>
    </row>
    <row r="114" spans="2:4" x14ac:dyDescent="0.35">
      <c r="C114" t="s">
        <v>292</v>
      </c>
      <c r="D114" s="49">
        <v>2268</v>
      </c>
    </row>
    <row r="115" spans="2:4" x14ac:dyDescent="0.35">
      <c r="C115" t="s">
        <v>179</v>
      </c>
      <c r="D115" s="49">
        <v>125117</v>
      </c>
    </row>
    <row r="116" spans="2:4" x14ac:dyDescent="0.35">
      <c r="B116" t="s">
        <v>543</v>
      </c>
      <c r="D116" s="49">
        <v>-2146990</v>
      </c>
    </row>
    <row r="117" spans="2:4" x14ac:dyDescent="0.35">
      <c r="C117" t="s">
        <v>544</v>
      </c>
      <c r="D117" s="49">
        <v>-2146990</v>
      </c>
    </row>
    <row r="118" spans="2:4" x14ac:dyDescent="0.35">
      <c r="B118" t="s">
        <v>181</v>
      </c>
      <c r="D118" s="49">
        <v>-639182</v>
      </c>
    </row>
    <row r="119" spans="2:4" x14ac:dyDescent="0.35">
      <c r="C119" t="s">
        <v>181</v>
      </c>
      <c r="D119" s="49">
        <v>-639182</v>
      </c>
    </row>
    <row r="120" spans="2:4" x14ac:dyDescent="0.35">
      <c r="B120" t="s">
        <v>182</v>
      </c>
      <c r="D120" s="49">
        <v>-480171</v>
      </c>
    </row>
    <row r="121" spans="2:4" x14ac:dyDescent="0.35">
      <c r="C121" t="s">
        <v>182</v>
      </c>
      <c r="D121" s="49">
        <v>-480171</v>
      </c>
    </row>
    <row r="122" spans="2:4" x14ac:dyDescent="0.35">
      <c r="B122" t="s">
        <v>74</v>
      </c>
      <c r="D122" s="49">
        <v>324661</v>
      </c>
    </row>
    <row r="123" spans="2:4" x14ac:dyDescent="0.35">
      <c r="C123" t="s">
        <v>267</v>
      </c>
      <c r="D123" s="49">
        <v>6139</v>
      </c>
    </row>
    <row r="124" spans="2:4" x14ac:dyDescent="0.35">
      <c r="C124" t="s">
        <v>264</v>
      </c>
      <c r="D124" s="49">
        <v>1853</v>
      </c>
    </row>
    <row r="125" spans="2:4" x14ac:dyDescent="0.35">
      <c r="C125" t="s">
        <v>185</v>
      </c>
      <c r="D125" s="49">
        <v>41894</v>
      </c>
    </row>
    <row r="126" spans="2:4" x14ac:dyDescent="0.35">
      <c r="C126" t="s">
        <v>270</v>
      </c>
      <c r="D126" s="49">
        <v>50430</v>
      </c>
    </row>
    <row r="127" spans="2:4" x14ac:dyDescent="0.35">
      <c r="C127" t="s">
        <v>205</v>
      </c>
      <c r="D127" s="49">
        <v>39553</v>
      </c>
    </row>
    <row r="128" spans="2:4" x14ac:dyDescent="0.35">
      <c r="C128" t="s">
        <v>266</v>
      </c>
      <c r="D128" s="49">
        <v>0</v>
      </c>
    </row>
    <row r="129" spans="2:4" x14ac:dyDescent="0.35">
      <c r="C129" t="s">
        <v>298</v>
      </c>
      <c r="D129" s="49">
        <v>0</v>
      </c>
    </row>
    <row r="130" spans="2:4" x14ac:dyDescent="0.35">
      <c r="C130" t="s">
        <v>183</v>
      </c>
      <c r="D130" s="49">
        <v>18857</v>
      </c>
    </row>
    <row r="131" spans="2:4" x14ac:dyDescent="0.35">
      <c r="C131" t="s">
        <v>186</v>
      </c>
      <c r="D131" s="49">
        <v>63225</v>
      </c>
    </row>
    <row r="132" spans="2:4" x14ac:dyDescent="0.35">
      <c r="C132" t="s">
        <v>187</v>
      </c>
      <c r="D132" s="49">
        <v>9179</v>
      </c>
    </row>
    <row r="133" spans="2:4" x14ac:dyDescent="0.35">
      <c r="C133" t="s">
        <v>283</v>
      </c>
      <c r="D133" s="49">
        <v>12703</v>
      </c>
    </row>
    <row r="134" spans="2:4" x14ac:dyDescent="0.35">
      <c r="C134" t="s">
        <v>268</v>
      </c>
      <c r="D134" s="49">
        <v>1</v>
      </c>
    </row>
    <row r="135" spans="2:4" x14ac:dyDescent="0.35">
      <c r="C135" t="s">
        <v>282</v>
      </c>
      <c r="D135" s="49">
        <v>13845</v>
      </c>
    </row>
    <row r="136" spans="2:4" x14ac:dyDescent="0.35">
      <c r="C136" t="s">
        <v>265</v>
      </c>
      <c r="D136" s="49">
        <v>0</v>
      </c>
    </row>
    <row r="137" spans="2:4" x14ac:dyDescent="0.35">
      <c r="C137" t="s">
        <v>184</v>
      </c>
      <c r="D137" s="49">
        <v>3400</v>
      </c>
    </row>
    <row r="138" spans="2:4" x14ac:dyDescent="0.35">
      <c r="C138" t="s">
        <v>269</v>
      </c>
      <c r="D138" s="49">
        <v>24699</v>
      </c>
    </row>
    <row r="139" spans="2:4" x14ac:dyDescent="0.35">
      <c r="C139" t="s">
        <v>271</v>
      </c>
      <c r="D139" s="49">
        <v>38883</v>
      </c>
    </row>
    <row r="140" spans="2:4" x14ac:dyDescent="0.35">
      <c r="B140" t="s">
        <v>85</v>
      </c>
      <c r="D140" s="49">
        <v>6173615.8100000005</v>
      </c>
    </row>
    <row r="141" spans="2:4" x14ac:dyDescent="0.35">
      <c r="C141" t="s">
        <v>188</v>
      </c>
      <c r="D141" s="49">
        <v>6173615.8100000005</v>
      </c>
    </row>
    <row r="142" spans="2:4" x14ac:dyDescent="0.35">
      <c r="B142" t="s">
        <v>106</v>
      </c>
      <c r="D142" s="49">
        <v>41252306</v>
      </c>
    </row>
    <row r="143" spans="2:4" x14ac:dyDescent="0.35">
      <c r="C143" t="s">
        <v>190</v>
      </c>
      <c r="D143" s="49">
        <v>1048986</v>
      </c>
    </row>
    <row r="144" spans="2:4" x14ac:dyDescent="0.35">
      <c r="C144" t="s">
        <v>189</v>
      </c>
      <c r="D144" s="49">
        <v>29027134</v>
      </c>
    </row>
    <row r="145" spans="2:4" x14ac:dyDescent="0.35">
      <c r="C145" t="s">
        <v>193</v>
      </c>
      <c r="D145" s="49">
        <v>274097</v>
      </c>
    </row>
    <row r="146" spans="2:4" x14ac:dyDescent="0.35">
      <c r="C146" t="s">
        <v>191</v>
      </c>
      <c r="D146" s="49">
        <v>7139520</v>
      </c>
    </row>
    <row r="147" spans="2:4" x14ac:dyDescent="0.35">
      <c r="C147" t="s">
        <v>194</v>
      </c>
      <c r="D147" s="49">
        <v>11321</v>
      </c>
    </row>
    <row r="148" spans="2:4" x14ac:dyDescent="0.35">
      <c r="C148" t="s">
        <v>284</v>
      </c>
      <c r="D148" s="49">
        <v>258941</v>
      </c>
    </row>
    <row r="149" spans="2:4" x14ac:dyDescent="0.35">
      <c r="C149" t="s">
        <v>192</v>
      </c>
      <c r="D149" s="49">
        <v>2591222</v>
      </c>
    </row>
    <row r="150" spans="2:4" x14ac:dyDescent="0.35">
      <c r="C150" t="s">
        <v>195</v>
      </c>
      <c r="D150" s="49">
        <v>901085</v>
      </c>
    </row>
    <row r="151" spans="2:4" x14ac:dyDescent="0.35">
      <c r="B151" t="s">
        <v>490</v>
      </c>
      <c r="D151" s="49">
        <v>2246</v>
      </c>
    </row>
    <row r="152" spans="2:4" x14ac:dyDescent="0.35">
      <c r="C152" t="s">
        <v>490</v>
      </c>
      <c r="D152" s="49">
        <v>2246</v>
      </c>
    </row>
    <row r="153" spans="2:4" x14ac:dyDescent="0.35">
      <c r="B153" t="s">
        <v>75</v>
      </c>
      <c r="D153" s="49">
        <v>846944</v>
      </c>
    </row>
    <row r="154" spans="2:4" x14ac:dyDescent="0.35">
      <c r="C154" t="s">
        <v>204</v>
      </c>
      <c r="D154" s="49">
        <v>846944</v>
      </c>
    </row>
    <row r="155" spans="2:4" x14ac:dyDescent="0.35">
      <c r="B155" t="s">
        <v>23</v>
      </c>
      <c r="D155" s="49">
        <v>273449</v>
      </c>
    </row>
    <row r="156" spans="2:4" x14ac:dyDescent="0.35">
      <c r="C156" t="s">
        <v>206</v>
      </c>
      <c r="D156" s="49">
        <v>273449</v>
      </c>
    </row>
    <row r="157" spans="2:4" x14ac:dyDescent="0.35">
      <c r="B157" t="s">
        <v>24</v>
      </c>
      <c r="D157" s="49">
        <v>504578</v>
      </c>
    </row>
    <row r="158" spans="2:4" x14ac:dyDescent="0.35">
      <c r="C158" t="s">
        <v>207</v>
      </c>
      <c r="D158" s="49">
        <v>504578</v>
      </c>
    </row>
    <row r="159" spans="2:4" x14ac:dyDescent="0.35">
      <c r="B159" t="s">
        <v>114</v>
      </c>
      <c r="D159" s="49">
        <v>8275</v>
      </c>
    </row>
    <row r="160" spans="2:4" x14ac:dyDescent="0.35">
      <c r="C160" t="s">
        <v>295</v>
      </c>
      <c r="D160" s="49">
        <v>8275</v>
      </c>
    </row>
    <row r="161" spans="2:4" x14ac:dyDescent="0.35">
      <c r="B161" t="s">
        <v>519</v>
      </c>
      <c r="D161" s="49">
        <v>102649.24999999994</v>
      </c>
    </row>
    <row r="162" spans="2:4" x14ac:dyDescent="0.35">
      <c r="C162" t="s">
        <v>196</v>
      </c>
      <c r="D162" s="49">
        <v>299.11</v>
      </c>
    </row>
    <row r="163" spans="2:4" x14ac:dyDescent="0.35">
      <c r="C163" t="s">
        <v>285</v>
      </c>
      <c r="D163" s="49">
        <v>24422.689999999995</v>
      </c>
    </row>
    <row r="164" spans="2:4" x14ac:dyDescent="0.35">
      <c r="C164" t="s">
        <v>202</v>
      </c>
      <c r="D164" s="49">
        <v>2910</v>
      </c>
    </row>
    <row r="165" spans="2:4" x14ac:dyDescent="0.35">
      <c r="C165" t="s">
        <v>514</v>
      </c>
      <c r="D165" s="49">
        <v>0</v>
      </c>
    </row>
    <row r="166" spans="2:4" x14ac:dyDescent="0.35">
      <c r="C166" t="s">
        <v>203</v>
      </c>
      <c r="D166" s="49">
        <v>75017.450000000041</v>
      </c>
    </row>
    <row r="167" spans="2:4" x14ac:dyDescent="0.35">
      <c r="B167" t="s">
        <v>520</v>
      </c>
      <c r="D167" s="49">
        <v>444305</v>
      </c>
    </row>
    <row r="168" spans="2:4" x14ac:dyDescent="0.35">
      <c r="C168" t="s">
        <v>134</v>
      </c>
      <c r="D168" s="49">
        <v>86665</v>
      </c>
    </row>
    <row r="169" spans="2:4" x14ac:dyDescent="0.35">
      <c r="C169" t="s">
        <v>196</v>
      </c>
      <c r="D169" s="49">
        <v>64</v>
      </c>
    </row>
    <row r="170" spans="2:4" x14ac:dyDescent="0.35">
      <c r="C170" t="s">
        <v>512</v>
      </c>
      <c r="D170" s="49">
        <v>0</v>
      </c>
    </row>
    <row r="171" spans="2:4" x14ac:dyDescent="0.35">
      <c r="C171" t="s">
        <v>201</v>
      </c>
      <c r="D171" s="49">
        <v>98697</v>
      </c>
    </row>
    <row r="172" spans="2:4" x14ac:dyDescent="0.35">
      <c r="C172" t="s">
        <v>301</v>
      </c>
      <c r="D172" s="49">
        <v>0</v>
      </c>
    </row>
    <row r="173" spans="2:4" x14ac:dyDescent="0.35">
      <c r="C173" t="s">
        <v>294</v>
      </c>
      <c r="D173" s="49">
        <v>0</v>
      </c>
    </row>
    <row r="174" spans="2:4" x14ac:dyDescent="0.35">
      <c r="C174" t="s">
        <v>208</v>
      </c>
      <c r="D174" s="49">
        <v>1632</v>
      </c>
    </row>
    <row r="175" spans="2:4" x14ac:dyDescent="0.35">
      <c r="C175" t="s">
        <v>197</v>
      </c>
      <c r="D175" s="49">
        <v>166451</v>
      </c>
    </row>
    <row r="176" spans="2:4" x14ac:dyDescent="0.35">
      <c r="C176" t="s">
        <v>199</v>
      </c>
      <c r="D176" s="49">
        <v>0</v>
      </c>
    </row>
    <row r="177" spans="2:4" x14ac:dyDescent="0.35">
      <c r="C177" t="s">
        <v>200</v>
      </c>
      <c r="D177" s="49">
        <v>26557</v>
      </c>
    </row>
    <row r="178" spans="2:4" x14ac:dyDescent="0.35">
      <c r="C178" t="s">
        <v>198</v>
      </c>
      <c r="D178" s="49">
        <v>15930</v>
      </c>
    </row>
    <row r="179" spans="2:4" x14ac:dyDescent="0.35">
      <c r="C179" t="s">
        <v>297</v>
      </c>
      <c r="D179" s="49">
        <v>900</v>
      </c>
    </row>
    <row r="180" spans="2:4" x14ac:dyDescent="0.35">
      <c r="C180" t="s">
        <v>566</v>
      </c>
      <c r="D180" s="49">
        <v>24300</v>
      </c>
    </row>
    <row r="181" spans="2:4" x14ac:dyDescent="0.35">
      <c r="C181" t="s">
        <v>241</v>
      </c>
      <c r="D181" s="49">
        <v>2233</v>
      </c>
    </row>
    <row r="182" spans="2:4" x14ac:dyDescent="0.35">
      <c r="C182" t="s">
        <v>568</v>
      </c>
      <c r="D182" s="49">
        <v>20876</v>
      </c>
    </row>
    <row r="183" spans="2:4" x14ac:dyDescent="0.35">
      <c r="B183" t="s">
        <v>33</v>
      </c>
      <c r="D183" s="49">
        <v>113304</v>
      </c>
    </row>
    <row r="184" spans="2:4" x14ac:dyDescent="0.35">
      <c r="C184" t="s">
        <v>492</v>
      </c>
      <c r="D184" s="49">
        <v>0</v>
      </c>
    </row>
    <row r="185" spans="2:4" x14ac:dyDescent="0.35">
      <c r="C185" t="s">
        <v>209</v>
      </c>
      <c r="D185" s="49">
        <v>113304</v>
      </c>
    </row>
    <row r="186" spans="2:4" x14ac:dyDescent="0.35">
      <c r="B186" t="s">
        <v>12</v>
      </c>
      <c r="D186" s="49">
        <v>406675</v>
      </c>
    </row>
    <row r="187" spans="2:4" x14ac:dyDescent="0.35">
      <c r="C187" t="s">
        <v>215</v>
      </c>
      <c r="D187" s="49">
        <v>16895</v>
      </c>
    </row>
    <row r="188" spans="2:4" x14ac:dyDescent="0.35">
      <c r="C188" t="s">
        <v>210</v>
      </c>
      <c r="D188" s="49">
        <v>21855</v>
      </c>
    </row>
    <row r="189" spans="2:4" x14ac:dyDescent="0.35">
      <c r="C189" t="s">
        <v>213</v>
      </c>
      <c r="D189" s="49">
        <v>86506</v>
      </c>
    </row>
    <row r="190" spans="2:4" x14ac:dyDescent="0.35">
      <c r="C190" t="s">
        <v>220</v>
      </c>
      <c r="D190" s="49">
        <v>34460</v>
      </c>
    </row>
    <row r="191" spans="2:4" x14ac:dyDescent="0.35">
      <c r="C191" t="s">
        <v>216</v>
      </c>
      <c r="D191" s="49">
        <v>7712</v>
      </c>
    </row>
    <row r="192" spans="2:4" x14ac:dyDescent="0.35">
      <c r="C192" t="s">
        <v>299</v>
      </c>
      <c r="D192" s="49">
        <v>0</v>
      </c>
    </row>
    <row r="193" spans="2:4" x14ac:dyDescent="0.35">
      <c r="C193" t="s">
        <v>218</v>
      </c>
      <c r="D193" s="49">
        <v>48918</v>
      </c>
    </row>
    <row r="194" spans="2:4" x14ac:dyDescent="0.35">
      <c r="C194" t="s">
        <v>211</v>
      </c>
      <c r="D194" s="49">
        <v>6541</v>
      </c>
    </row>
    <row r="195" spans="2:4" x14ac:dyDescent="0.35">
      <c r="C195" t="s">
        <v>221</v>
      </c>
      <c r="D195" s="49">
        <v>30469</v>
      </c>
    </row>
    <row r="196" spans="2:4" x14ac:dyDescent="0.35">
      <c r="C196" t="s">
        <v>222</v>
      </c>
      <c r="D196" s="49">
        <v>34420</v>
      </c>
    </row>
    <row r="197" spans="2:4" x14ac:dyDescent="0.35">
      <c r="C197" t="s">
        <v>273</v>
      </c>
      <c r="D197" s="49">
        <v>15682</v>
      </c>
    </row>
    <row r="198" spans="2:4" x14ac:dyDescent="0.35">
      <c r="C198" t="s">
        <v>217</v>
      </c>
      <c r="D198" s="49">
        <v>13134</v>
      </c>
    </row>
    <row r="199" spans="2:4" x14ac:dyDescent="0.35">
      <c r="C199" t="s">
        <v>272</v>
      </c>
      <c r="D199" s="49">
        <v>0</v>
      </c>
    </row>
    <row r="200" spans="2:4" x14ac:dyDescent="0.35">
      <c r="C200" t="s">
        <v>212</v>
      </c>
      <c r="D200" s="49">
        <v>27737</v>
      </c>
    </row>
    <row r="201" spans="2:4" x14ac:dyDescent="0.35">
      <c r="C201" t="s">
        <v>219</v>
      </c>
      <c r="D201" s="49">
        <v>32684</v>
      </c>
    </row>
    <row r="202" spans="2:4" x14ac:dyDescent="0.35">
      <c r="C202" t="s">
        <v>214</v>
      </c>
      <c r="D202" s="49">
        <v>29070</v>
      </c>
    </row>
    <row r="203" spans="2:4" x14ac:dyDescent="0.35">
      <c r="C203" t="s">
        <v>286</v>
      </c>
      <c r="D203" s="49">
        <v>592</v>
      </c>
    </row>
    <row r="204" spans="2:4" x14ac:dyDescent="0.35">
      <c r="B204" t="s">
        <v>54</v>
      </c>
      <c r="D204" s="49">
        <v>0</v>
      </c>
    </row>
    <row r="205" spans="2:4" x14ac:dyDescent="0.35">
      <c r="C205" t="s">
        <v>505</v>
      </c>
      <c r="D205" s="49">
        <v>0</v>
      </c>
    </row>
    <row r="206" spans="2:4" x14ac:dyDescent="0.35">
      <c r="B206" t="s">
        <v>28</v>
      </c>
      <c r="D206" s="49">
        <v>628391</v>
      </c>
    </row>
    <row r="207" spans="2:4" x14ac:dyDescent="0.35">
      <c r="C207" t="s">
        <v>224</v>
      </c>
      <c r="D207" s="49">
        <v>268716</v>
      </c>
    </row>
    <row r="208" spans="2:4" x14ac:dyDescent="0.35">
      <c r="C208" t="s">
        <v>223</v>
      </c>
      <c r="D208" s="49">
        <v>359675</v>
      </c>
    </row>
    <row r="209" spans="2:4" x14ac:dyDescent="0.35">
      <c r="B209" t="s">
        <v>92</v>
      </c>
      <c r="D209" s="49">
        <v>4002</v>
      </c>
    </row>
    <row r="210" spans="2:4" x14ac:dyDescent="0.35">
      <c r="C210" t="s">
        <v>494</v>
      </c>
      <c r="D210" s="49">
        <v>4002</v>
      </c>
    </row>
    <row r="211" spans="2:4" x14ac:dyDescent="0.35">
      <c r="B211" t="s">
        <v>64</v>
      </c>
      <c r="D211" s="49">
        <v>228785</v>
      </c>
    </row>
    <row r="212" spans="2:4" x14ac:dyDescent="0.35">
      <c r="C212" t="s">
        <v>225</v>
      </c>
      <c r="D212" s="49">
        <v>228785</v>
      </c>
    </row>
    <row r="213" spans="2:4" x14ac:dyDescent="0.35">
      <c r="B213" t="s">
        <v>29</v>
      </c>
      <c r="D213" s="49">
        <v>13566</v>
      </c>
    </row>
    <row r="214" spans="2:4" x14ac:dyDescent="0.35">
      <c r="C214" t="s">
        <v>226</v>
      </c>
      <c r="D214" s="49">
        <v>13566</v>
      </c>
    </row>
    <row r="215" spans="2:4" x14ac:dyDescent="0.35">
      <c r="B215" t="s">
        <v>102</v>
      </c>
      <c r="D215" s="49">
        <v>1567177</v>
      </c>
    </row>
    <row r="216" spans="2:4" x14ac:dyDescent="0.35">
      <c r="C216" t="s">
        <v>227</v>
      </c>
      <c r="D216" s="49">
        <v>1567177</v>
      </c>
    </row>
    <row r="217" spans="2:4" x14ac:dyDescent="0.35">
      <c r="B217" t="s">
        <v>25</v>
      </c>
      <c r="D217" s="49">
        <v>614355</v>
      </c>
    </row>
    <row r="218" spans="2:4" x14ac:dyDescent="0.35">
      <c r="C218" t="s">
        <v>274</v>
      </c>
      <c r="D218" s="49">
        <v>280960</v>
      </c>
    </row>
    <row r="219" spans="2:4" x14ac:dyDescent="0.35">
      <c r="C219" t="s">
        <v>228</v>
      </c>
      <c r="D219" s="49">
        <v>333395</v>
      </c>
    </row>
    <row r="220" spans="2:4" x14ac:dyDescent="0.35">
      <c r="B220" t="s">
        <v>229</v>
      </c>
      <c r="D220" s="49">
        <v>408136</v>
      </c>
    </row>
    <row r="221" spans="2:4" x14ac:dyDescent="0.35">
      <c r="C221" t="s">
        <v>230</v>
      </c>
      <c r="D221" s="49">
        <v>408136</v>
      </c>
    </row>
    <row r="222" spans="2:4" x14ac:dyDescent="0.35">
      <c r="B222" t="s">
        <v>231</v>
      </c>
      <c r="D222" s="49">
        <v>10000</v>
      </c>
    </row>
    <row r="223" spans="2:4" x14ac:dyDescent="0.35">
      <c r="C223" t="s">
        <v>231</v>
      </c>
      <c r="D223" s="49">
        <v>10000</v>
      </c>
    </row>
    <row r="224" spans="2:4" x14ac:dyDescent="0.35">
      <c r="B224" t="s">
        <v>13</v>
      </c>
      <c r="D224" s="49">
        <v>5395</v>
      </c>
    </row>
    <row r="225" spans="2:4" x14ac:dyDescent="0.35">
      <c r="C225" t="s">
        <v>232</v>
      </c>
      <c r="D225" s="49">
        <v>5395</v>
      </c>
    </row>
    <row r="226" spans="2:4" x14ac:dyDescent="0.35">
      <c r="B226" t="s">
        <v>94</v>
      </c>
      <c r="D226" s="49">
        <v>310472.96000000002</v>
      </c>
    </row>
    <row r="227" spans="2:4" x14ac:dyDescent="0.35">
      <c r="C227" t="s">
        <v>233</v>
      </c>
      <c r="D227" s="49">
        <v>310472.96000000002</v>
      </c>
    </row>
    <row r="228" spans="2:4" x14ac:dyDescent="0.35">
      <c r="B228" t="s">
        <v>36</v>
      </c>
      <c r="D228" s="49">
        <v>121832</v>
      </c>
    </row>
    <row r="229" spans="2:4" x14ac:dyDescent="0.35">
      <c r="C229" t="s">
        <v>275</v>
      </c>
      <c r="D229" s="49">
        <v>121832</v>
      </c>
    </row>
    <row r="230" spans="2:4" x14ac:dyDescent="0.35">
      <c r="B230" t="s">
        <v>43</v>
      </c>
      <c r="D230" s="49">
        <v>159825</v>
      </c>
    </row>
    <row r="231" spans="2:4" x14ac:dyDescent="0.35">
      <c r="C231" t="s">
        <v>234</v>
      </c>
      <c r="D231" s="49">
        <v>159825</v>
      </c>
    </row>
    <row r="232" spans="2:4" x14ac:dyDescent="0.35">
      <c r="B232" t="s">
        <v>40</v>
      </c>
      <c r="D232" s="49">
        <v>122080</v>
      </c>
    </row>
    <row r="233" spans="2:4" x14ac:dyDescent="0.35">
      <c r="C233" t="s">
        <v>235</v>
      </c>
      <c r="D233" s="49">
        <v>122080</v>
      </c>
    </row>
    <row r="234" spans="2:4" x14ac:dyDescent="0.35">
      <c r="B234" t="s">
        <v>45</v>
      </c>
      <c r="D234" s="49">
        <v>553263</v>
      </c>
    </row>
    <row r="235" spans="2:4" x14ac:dyDescent="0.35">
      <c r="C235" t="s">
        <v>276</v>
      </c>
      <c r="D235" s="49">
        <v>553263</v>
      </c>
    </row>
    <row r="236" spans="2:4" x14ac:dyDescent="0.35">
      <c r="B236" t="s">
        <v>546</v>
      </c>
      <c r="D236" s="49">
        <v>0</v>
      </c>
    </row>
    <row r="237" spans="2:4" x14ac:dyDescent="0.35">
      <c r="C237" t="s">
        <v>547</v>
      </c>
      <c r="D237" s="49">
        <v>0</v>
      </c>
    </row>
    <row r="238" spans="2:4" x14ac:dyDescent="0.35">
      <c r="B238" t="s">
        <v>76</v>
      </c>
      <c r="D238" s="49">
        <v>-4038871.5399999977</v>
      </c>
    </row>
    <row r="239" spans="2:4" x14ac:dyDescent="0.35">
      <c r="C239" t="s">
        <v>236</v>
      </c>
      <c r="D239" s="49">
        <v>-1116270</v>
      </c>
    </row>
    <row r="240" spans="2:4" x14ac:dyDescent="0.35">
      <c r="C240" t="s">
        <v>239</v>
      </c>
      <c r="D240" s="49">
        <v>-3288453.7500000009</v>
      </c>
    </row>
    <row r="241" spans="2:4" x14ac:dyDescent="0.35">
      <c r="C241" t="s">
        <v>238</v>
      </c>
      <c r="D241" s="49">
        <v>341176.8600000001</v>
      </c>
    </row>
    <row r="242" spans="2:4" x14ac:dyDescent="0.35">
      <c r="C242" t="s">
        <v>237</v>
      </c>
      <c r="D242" s="49">
        <v>24675.350000000013</v>
      </c>
    </row>
    <row r="243" spans="2:4" x14ac:dyDescent="0.35">
      <c r="B243" t="s">
        <v>35</v>
      </c>
      <c r="D243" s="49">
        <v>1663041.29</v>
      </c>
    </row>
    <row r="244" spans="2:4" x14ac:dyDescent="0.35">
      <c r="C244" t="s">
        <v>240</v>
      </c>
      <c r="D244" s="49">
        <v>1663041.29</v>
      </c>
    </row>
    <row r="245" spans="2:4" x14ac:dyDescent="0.35">
      <c r="B245" t="s">
        <v>103</v>
      </c>
      <c r="D245" s="49">
        <v>878700</v>
      </c>
    </row>
    <row r="246" spans="2:4" x14ac:dyDescent="0.35">
      <c r="C246" t="s">
        <v>242</v>
      </c>
      <c r="D246" s="49">
        <v>878700</v>
      </c>
    </row>
    <row r="247" spans="2:4" x14ac:dyDescent="0.35">
      <c r="B247" t="s">
        <v>104</v>
      </c>
      <c r="D247" s="49">
        <v>7855263</v>
      </c>
    </row>
    <row r="248" spans="2:4" x14ac:dyDescent="0.35">
      <c r="C248" t="s">
        <v>243</v>
      </c>
      <c r="D248" s="49">
        <v>7855263</v>
      </c>
    </row>
    <row r="249" spans="2:4" x14ac:dyDescent="0.35">
      <c r="B249" t="s">
        <v>244</v>
      </c>
      <c r="D249" s="49">
        <v>12580857</v>
      </c>
    </row>
    <row r="250" spans="2:4" x14ac:dyDescent="0.35">
      <c r="C250" t="s">
        <v>245</v>
      </c>
      <c r="D250" s="49">
        <v>12580857</v>
      </c>
    </row>
    <row r="251" spans="2:4" x14ac:dyDescent="0.35">
      <c r="B251" t="s">
        <v>100</v>
      </c>
      <c r="D251" s="49">
        <v>-1</v>
      </c>
    </row>
    <row r="252" spans="2:4" x14ac:dyDescent="0.35">
      <c r="C252" t="s">
        <v>246</v>
      </c>
      <c r="D252" s="49">
        <v>-1</v>
      </c>
    </row>
    <row r="253" spans="2:4" x14ac:dyDescent="0.35">
      <c r="B253" t="s">
        <v>14</v>
      </c>
      <c r="D253" s="49">
        <v>1601923</v>
      </c>
    </row>
    <row r="254" spans="2:4" x14ac:dyDescent="0.35">
      <c r="C254" t="s">
        <v>131</v>
      </c>
      <c r="D254" s="49">
        <v>1601923</v>
      </c>
    </row>
    <row r="255" spans="2:4" x14ac:dyDescent="0.35">
      <c r="B255" t="s">
        <v>30</v>
      </c>
      <c r="D255" s="49">
        <v>125644</v>
      </c>
    </row>
    <row r="256" spans="2:4" x14ac:dyDescent="0.35">
      <c r="C256" t="s">
        <v>247</v>
      </c>
      <c r="D256" s="49">
        <v>125644</v>
      </c>
    </row>
    <row r="257" spans="2:4" x14ac:dyDescent="0.35">
      <c r="B257" t="s">
        <v>15</v>
      </c>
      <c r="D257" s="49">
        <v>276111</v>
      </c>
    </row>
    <row r="258" spans="2:4" x14ac:dyDescent="0.35">
      <c r="C258" t="s">
        <v>248</v>
      </c>
      <c r="D258" s="49">
        <v>276111</v>
      </c>
    </row>
    <row r="259" spans="2:4" x14ac:dyDescent="0.35">
      <c r="B259" t="s">
        <v>52</v>
      </c>
      <c r="D259" s="49">
        <v>16280</v>
      </c>
    </row>
    <row r="260" spans="2:4" x14ac:dyDescent="0.35">
      <c r="C260" t="s">
        <v>303</v>
      </c>
      <c r="D260" s="49">
        <v>16280</v>
      </c>
    </row>
    <row r="261" spans="2:4" x14ac:dyDescent="0.35">
      <c r="B261" t="s">
        <v>90</v>
      </c>
      <c r="D261" s="49">
        <v>1875037.6800000002</v>
      </c>
    </row>
    <row r="262" spans="2:4" x14ac:dyDescent="0.35">
      <c r="C262" t="s">
        <v>277</v>
      </c>
      <c r="D262" s="49">
        <v>1701251.62</v>
      </c>
    </row>
    <row r="263" spans="2:4" x14ac:dyDescent="0.35">
      <c r="C263" t="s">
        <v>249</v>
      </c>
      <c r="D263" s="49">
        <v>173786.06000000006</v>
      </c>
    </row>
    <row r="264" spans="2:4" x14ac:dyDescent="0.35">
      <c r="B264" t="s">
        <v>84</v>
      </c>
      <c r="D264" s="49">
        <v>14947005.839999998</v>
      </c>
    </row>
    <row r="265" spans="2:4" x14ac:dyDescent="0.35">
      <c r="C265" t="s">
        <v>250</v>
      </c>
      <c r="D265" s="49">
        <v>14947005.839999998</v>
      </c>
    </row>
    <row r="266" spans="2:4" x14ac:dyDescent="0.35">
      <c r="B266" t="s">
        <v>81</v>
      </c>
      <c r="D266" s="49">
        <v>141362774.54999998</v>
      </c>
    </row>
    <row r="267" spans="2:4" x14ac:dyDescent="0.35">
      <c r="C267" t="s">
        <v>289</v>
      </c>
      <c r="D267" s="49">
        <v>9712551.6899999995</v>
      </c>
    </row>
    <row r="268" spans="2:4" x14ac:dyDescent="0.35">
      <c r="C268" t="s">
        <v>304</v>
      </c>
      <c r="D268" s="49">
        <v>22607.599999999999</v>
      </c>
    </row>
    <row r="269" spans="2:4" x14ac:dyDescent="0.35">
      <c r="C269" t="s">
        <v>252</v>
      </c>
      <c r="D269" s="49">
        <v>75603771.920000002</v>
      </c>
    </row>
    <row r="270" spans="2:4" x14ac:dyDescent="0.35">
      <c r="C270" t="s">
        <v>251</v>
      </c>
      <c r="D270" s="49">
        <v>56023843.339999996</v>
      </c>
    </row>
    <row r="271" spans="2:4" x14ac:dyDescent="0.35">
      <c r="B271" t="s">
        <v>549</v>
      </c>
      <c r="D271" s="49">
        <v>0</v>
      </c>
    </row>
    <row r="272" spans="2:4" x14ac:dyDescent="0.35">
      <c r="C272" t="s">
        <v>549</v>
      </c>
      <c r="D272" s="49">
        <v>0</v>
      </c>
    </row>
    <row r="273" spans="2:4" x14ac:dyDescent="0.35">
      <c r="B273" t="s">
        <v>551</v>
      </c>
      <c r="D273" s="49">
        <v>0</v>
      </c>
    </row>
    <row r="274" spans="2:4" x14ac:dyDescent="0.35">
      <c r="C274" t="s">
        <v>552</v>
      </c>
      <c r="D274" s="49">
        <v>0</v>
      </c>
    </row>
    <row r="275" spans="2:4" x14ac:dyDescent="0.35">
      <c r="B275" t="s">
        <v>44</v>
      </c>
      <c r="D275" s="49">
        <v>831086</v>
      </c>
    </row>
    <row r="276" spans="2:4" x14ac:dyDescent="0.35">
      <c r="C276" t="s">
        <v>253</v>
      </c>
      <c r="D276" s="49">
        <v>831086</v>
      </c>
    </row>
    <row r="277" spans="2:4" x14ac:dyDescent="0.35">
      <c r="B277" t="s">
        <v>16</v>
      </c>
      <c r="D277" s="49">
        <v>246308</v>
      </c>
    </row>
    <row r="278" spans="2:4" x14ac:dyDescent="0.35">
      <c r="C278" t="s">
        <v>254</v>
      </c>
      <c r="D278" s="49">
        <v>246308</v>
      </c>
    </row>
    <row r="279" spans="2:4" x14ac:dyDescent="0.35">
      <c r="B279" t="s">
        <v>34</v>
      </c>
      <c r="D279" s="49">
        <v>826647</v>
      </c>
    </row>
    <row r="280" spans="2:4" x14ac:dyDescent="0.35">
      <c r="C280" t="s">
        <v>278</v>
      </c>
      <c r="D280" s="49">
        <v>826647</v>
      </c>
    </row>
    <row r="281" spans="2:4" x14ac:dyDescent="0.35">
      <c r="B281" t="s">
        <v>55</v>
      </c>
      <c r="D281" s="49">
        <v>221786</v>
      </c>
    </row>
    <row r="282" spans="2:4" x14ac:dyDescent="0.35">
      <c r="C282" t="s">
        <v>287</v>
      </c>
      <c r="D282" s="49">
        <v>221786</v>
      </c>
    </row>
    <row r="283" spans="2:4" x14ac:dyDescent="0.35">
      <c r="B283" t="s">
        <v>17</v>
      </c>
      <c r="D283" s="49">
        <v>92859</v>
      </c>
    </row>
    <row r="284" spans="2:4" x14ac:dyDescent="0.35">
      <c r="C284" t="s">
        <v>255</v>
      </c>
      <c r="D284" s="49">
        <v>92859</v>
      </c>
    </row>
    <row r="285" spans="2:4" x14ac:dyDescent="0.35">
      <c r="B285" t="s">
        <v>37</v>
      </c>
      <c r="D285" s="49">
        <v>-51679813.569999993</v>
      </c>
    </row>
    <row r="286" spans="2:4" x14ac:dyDescent="0.35">
      <c r="C286" t="s">
        <v>256</v>
      </c>
      <c r="D286" s="49">
        <v>-709198.34000000008</v>
      </c>
    </row>
    <row r="287" spans="2:4" x14ac:dyDescent="0.35">
      <c r="C287" t="s">
        <v>258</v>
      </c>
      <c r="D287" s="49">
        <v>-2.2737367544323206E-13</v>
      </c>
    </row>
    <row r="288" spans="2:4" x14ac:dyDescent="0.35">
      <c r="C288" t="s">
        <v>257</v>
      </c>
      <c r="D288" s="49">
        <v>-50970615.230000004</v>
      </c>
    </row>
    <row r="289" spans="2:4" x14ac:dyDescent="0.35">
      <c r="C289" t="s">
        <v>290</v>
      </c>
      <c r="D289" s="49">
        <v>0</v>
      </c>
    </row>
    <row r="290" spans="2:4" x14ac:dyDescent="0.35">
      <c r="B290" t="s">
        <v>18</v>
      </c>
      <c r="D290" s="49">
        <v>216364</v>
      </c>
    </row>
    <row r="291" spans="2:4" x14ac:dyDescent="0.35">
      <c r="C291" t="s">
        <v>259</v>
      </c>
      <c r="D291" s="49">
        <v>216364</v>
      </c>
    </row>
    <row r="292" spans="2:4" x14ac:dyDescent="0.35">
      <c r="B292" t="s">
        <v>279</v>
      </c>
      <c r="D292" s="49">
        <v>204492</v>
      </c>
    </row>
    <row r="293" spans="2:4" x14ac:dyDescent="0.35">
      <c r="C293" t="s">
        <v>280</v>
      </c>
      <c r="D293" s="49">
        <v>204492</v>
      </c>
    </row>
  </sheetData>
  <sheetProtection formatColumns="0" pivotTables="0"/>
  <pageMargins left="0.7" right="0.7" top="0.78740157499999996" bottom="0.78740157499999996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F0F4C-8F55-483C-9DDA-DD3181F17591}">
  <sheetPr codeName="List7"/>
  <dimension ref="A1:AQ5"/>
  <sheetViews>
    <sheetView showGridLines="0" showRowColHeaders="0" workbookViewId="0">
      <selection activeCell="A4" sqref="A4"/>
    </sheetView>
  </sheetViews>
  <sheetFormatPr defaultColWidth="2.5546875" defaultRowHeight="15" x14ac:dyDescent="0.35"/>
  <cols>
    <col min="1" max="1" width="14.88671875" customWidth="1"/>
    <col min="2" max="2" width="17.33203125" bestFit="1" customWidth="1"/>
    <col min="3" max="3" width="9.109375" bestFit="1" customWidth="1"/>
    <col min="4" max="4" width="7" bestFit="1" customWidth="1"/>
    <col min="5" max="43" width="11.5546875" customWidth="1"/>
  </cols>
  <sheetData>
    <row r="1" spans="1:43" x14ac:dyDescent="0.35">
      <c r="B1" s="2"/>
      <c r="C1" s="2"/>
      <c r="D1" s="2"/>
      <c r="E1" s="42"/>
      <c r="F1" s="42">
        <v>2024</v>
      </c>
      <c r="G1" s="42">
        <v>2024</v>
      </c>
      <c r="H1" s="42">
        <v>2024</v>
      </c>
      <c r="I1" s="42">
        <v>2024</v>
      </c>
      <c r="J1" s="42">
        <v>2024</v>
      </c>
      <c r="K1" s="42">
        <v>2024</v>
      </c>
      <c r="L1" s="42">
        <v>2024</v>
      </c>
      <c r="M1" s="42">
        <v>2024</v>
      </c>
      <c r="N1" s="42">
        <v>2024</v>
      </c>
      <c r="O1" s="42">
        <v>2025</v>
      </c>
      <c r="P1" s="42">
        <v>2025</v>
      </c>
      <c r="Q1" s="42">
        <v>2025</v>
      </c>
      <c r="R1" s="42" t="s">
        <v>50</v>
      </c>
      <c r="S1" s="42">
        <v>2024</v>
      </c>
      <c r="T1" s="42">
        <v>2024</v>
      </c>
      <c r="U1" s="42">
        <v>2024</v>
      </c>
      <c r="V1" s="42">
        <v>2024</v>
      </c>
      <c r="W1" s="42">
        <v>2024</v>
      </c>
      <c r="X1" s="42">
        <v>2024</v>
      </c>
      <c r="Y1" s="42">
        <v>2024</v>
      </c>
      <c r="Z1" s="42">
        <v>2024</v>
      </c>
      <c r="AA1" s="42">
        <v>2024</v>
      </c>
      <c r="AB1" s="42">
        <v>2025</v>
      </c>
      <c r="AC1" s="42">
        <v>2025</v>
      </c>
      <c r="AD1" s="42">
        <v>2025</v>
      </c>
      <c r="AE1" s="42" t="s">
        <v>108</v>
      </c>
      <c r="AF1" s="42">
        <v>2024</v>
      </c>
      <c r="AG1" s="42">
        <v>2024</v>
      </c>
      <c r="AH1" s="42">
        <v>2024</v>
      </c>
      <c r="AI1" s="42">
        <v>2024</v>
      </c>
      <c r="AJ1" s="42">
        <v>2024</v>
      </c>
      <c r="AK1" s="42">
        <v>2024</v>
      </c>
      <c r="AL1" s="42">
        <v>2024</v>
      </c>
      <c r="AM1" s="42">
        <v>2024</v>
      </c>
      <c r="AN1" s="42">
        <v>2024</v>
      </c>
      <c r="AO1" s="42">
        <v>2025</v>
      </c>
      <c r="AP1" s="42">
        <v>2025</v>
      </c>
      <c r="AQ1" s="42">
        <v>2025</v>
      </c>
    </row>
    <row r="2" spans="1:43" ht="26.4" x14ac:dyDescent="0.35">
      <c r="B2" s="2"/>
      <c r="C2" s="2" t="s">
        <v>46</v>
      </c>
      <c r="D2" s="2" t="s">
        <v>47</v>
      </c>
      <c r="E2" s="42" t="s">
        <v>49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2">
        <v>9</v>
      </c>
      <c r="L2" s="42">
        <v>10</v>
      </c>
      <c r="M2" s="42">
        <v>11</v>
      </c>
      <c r="N2" s="42">
        <v>12</v>
      </c>
      <c r="O2" s="42">
        <v>1</v>
      </c>
      <c r="P2" s="42">
        <v>2</v>
      </c>
      <c r="Q2" s="42">
        <v>3</v>
      </c>
      <c r="R2" s="42" t="s">
        <v>49</v>
      </c>
      <c r="S2" s="42">
        <v>4</v>
      </c>
      <c r="T2" s="42">
        <v>5</v>
      </c>
      <c r="U2" s="42">
        <v>6</v>
      </c>
      <c r="V2" s="42">
        <v>7</v>
      </c>
      <c r="W2" s="42">
        <v>8</v>
      </c>
      <c r="X2" s="42">
        <v>9</v>
      </c>
      <c r="Y2" s="42">
        <v>10</v>
      </c>
      <c r="Z2" s="42">
        <v>11</v>
      </c>
      <c r="AA2" s="42">
        <v>12</v>
      </c>
      <c r="AB2" s="42">
        <v>1</v>
      </c>
      <c r="AC2" s="42">
        <v>2</v>
      </c>
      <c r="AD2" s="42">
        <v>3</v>
      </c>
      <c r="AE2" s="42" t="s">
        <v>49</v>
      </c>
      <c r="AF2" s="42">
        <v>4</v>
      </c>
      <c r="AG2" s="42">
        <v>5</v>
      </c>
      <c r="AH2" s="42">
        <v>6</v>
      </c>
      <c r="AI2" s="42">
        <v>7</v>
      </c>
      <c r="AJ2" s="42">
        <v>8</v>
      </c>
      <c r="AK2" s="42">
        <v>9</v>
      </c>
      <c r="AL2" s="42">
        <v>10</v>
      </c>
      <c r="AM2" s="42">
        <v>11</v>
      </c>
      <c r="AN2" s="42">
        <v>12</v>
      </c>
      <c r="AO2" s="42">
        <v>1</v>
      </c>
      <c r="AP2" s="42">
        <v>2</v>
      </c>
      <c r="AQ2" s="42">
        <v>3</v>
      </c>
    </row>
    <row r="3" spans="1:43" x14ac:dyDescent="0.35">
      <c r="B3" s="18" t="s">
        <v>39</v>
      </c>
      <c r="C3" s="19"/>
      <c r="D3" s="19"/>
      <c r="E3" s="5">
        <v>115000</v>
      </c>
      <c r="F3" s="17">
        <v>9583</v>
      </c>
      <c r="G3" s="17">
        <v>9583</v>
      </c>
      <c r="H3" s="17">
        <v>9583</v>
      </c>
      <c r="I3" s="17">
        <v>9583</v>
      </c>
      <c r="J3" s="17">
        <v>9583</v>
      </c>
      <c r="K3" s="17">
        <v>9583</v>
      </c>
      <c r="L3" s="17">
        <v>9583</v>
      </c>
      <c r="M3" s="17">
        <v>9583</v>
      </c>
      <c r="N3" s="17">
        <v>9583</v>
      </c>
      <c r="O3" s="17">
        <v>9583</v>
      </c>
      <c r="P3" s="17">
        <v>9583</v>
      </c>
      <c r="Q3" s="17">
        <v>9587</v>
      </c>
      <c r="R3" s="5">
        <v>60556</v>
      </c>
      <c r="S3" s="5">
        <v>388</v>
      </c>
      <c r="T3" s="5">
        <v>765</v>
      </c>
      <c r="U3" s="5">
        <v>16961</v>
      </c>
      <c r="V3" s="5">
        <v>17751</v>
      </c>
      <c r="W3" s="5">
        <v>85</v>
      </c>
      <c r="X3" s="5">
        <v>18262</v>
      </c>
      <c r="Y3" s="5">
        <v>6344</v>
      </c>
      <c r="Z3" s="5">
        <v>0</v>
      </c>
      <c r="AA3" s="5">
        <v>0</v>
      </c>
      <c r="AB3" s="5">
        <v>0</v>
      </c>
      <c r="AC3" s="5">
        <v>0</v>
      </c>
      <c r="AD3" s="5">
        <v>0</v>
      </c>
      <c r="AE3" s="5">
        <v>54444</v>
      </c>
      <c r="AF3" s="5">
        <v>9195</v>
      </c>
      <c r="AG3" s="5">
        <v>8818</v>
      </c>
      <c r="AH3" s="5">
        <v>-7378</v>
      </c>
      <c r="AI3" s="5">
        <v>-8168</v>
      </c>
      <c r="AJ3" s="5">
        <v>9498</v>
      </c>
      <c r="AK3" s="5">
        <v>-8679</v>
      </c>
      <c r="AL3" s="5">
        <v>3239</v>
      </c>
      <c r="AM3" s="5">
        <v>9583</v>
      </c>
      <c r="AN3" s="5">
        <v>9583</v>
      </c>
      <c r="AO3" s="5">
        <v>9583</v>
      </c>
      <c r="AP3" s="5">
        <v>9583</v>
      </c>
      <c r="AQ3" s="5">
        <v>9587</v>
      </c>
    </row>
    <row r="4" spans="1:43" x14ac:dyDescent="0.35">
      <c r="A4" t="str">
        <f>DataProGraf!$B$4 &amp; " - kumulativně"</f>
        <v>Občerstvení - kuchyňka, kantýna - kumulativně</v>
      </c>
      <c r="B4" s="18" t="s">
        <v>39</v>
      </c>
      <c r="C4" s="21" t="b">
        <v>1</v>
      </c>
      <c r="D4" s="21" t="b">
        <v>1</v>
      </c>
      <c r="E4" s="5">
        <v>67081</v>
      </c>
      <c r="F4" s="17">
        <v>9583</v>
      </c>
      <c r="G4" s="17">
        <v>19166</v>
      </c>
      <c r="H4" s="17">
        <v>28749</v>
      </c>
      <c r="I4" s="17">
        <v>38332</v>
      </c>
      <c r="J4" s="17">
        <v>47915</v>
      </c>
      <c r="K4" s="17">
        <v>57498</v>
      </c>
      <c r="L4" s="17">
        <v>67081</v>
      </c>
      <c r="M4" s="17"/>
      <c r="N4" s="17"/>
      <c r="O4" s="17"/>
      <c r="P4" s="17"/>
      <c r="Q4" s="17"/>
      <c r="R4" s="5">
        <v>60112</v>
      </c>
      <c r="S4" s="5">
        <v>388</v>
      </c>
      <c r="T4" s="5">
        <v>1153</v>
      </c>
      <c r="U4" s="5">
        <v>18114</v>
      </c>
      <c r="V4" s="5">
        <v>35865</v>
      </c>
      <c r="W4" s="5">
        <v>35950</v>
      </c>
      <c r="X4" s="5">
        <v>54212</v>
      </c>
      <c r="Y4" s="5">
        <v>60112</v>
      </c>
      <c r="Z4" s="5"/>
      <c r="AA4" s="5"/>
      <c r="AB4" s="5"/>
      <c r="AC4" s="5"/>
      <c r="AD4" s="5"/>
      <c r="AE4" s="5">
        <v>6969</v>
      </c>
      <c r="AF4" s="5">
        <v>9195</v>
      </c>
      <c r="AG4" s="5">
        <v>18013</v>
      </c>
      <c r="AH4" s="5">
        <v>10635</v>
      </c>
      <c r="AI4" s="5">
        <v>2467</v>
      </c>
      <c r="AJ4" s="5">
        <v>11965</v>
      </c>
      <c r="AK4" s="5">
        <v>3286</v>
      </c>
      <c r="AL4" s="5">
        <v>6969</v>
      </c>
      <c r="AM4" s="5"/>
      <c r="AN4" s="5"/>
      <c r="AO4" s="5"/>
      <c r="AP4" s="5"/>
      <c r="AQ4" s="5"/>
    </row>
    <row r="5" spans="1:43" x14ac:dyDescent="0.35">
      <c r="F5" s="22">
        <f>S4-F4</f>
        <v>-9195</v>
      </c>
      <c r="G5" s="22">
        <f t="shared" ref="G5:Q5" si="0">T4-G4</f>
        <v>-18013</v>
      </c>
      <c r="H5" s="22">
        <f t="shared" si="0"/>
        <v>-10635</v>
      </c>
      <c r="I5" s="22">
        <f t="shared" si="0"/>
        <v>-2467</v>
      </c>
      <c r="J5" s="22">
        <f t="shared" si="0"/>
        <v>-11965</v>
      </c>
      <c r="K5" s="22">
        <f t="shared" si="0"/>
        <v>-3286</v>
      </c>
      <c r="L5" s="22">
        <f t="shared" si="0"/>
        <v>-6969</v>
      </c>
      <c r="M5" s="22">
        <f t="shared" si="0"/>
        <v>0</v>
      </c>
      <c r="N5" s="22">
        <f t="shared" si="0"/>
        <v>0</v>
      </c>
      <c r="O5" s="22">
        <f t="shared" si="0"/>
        <v>0</v>
      </c>
      <c r="P5" s="22">
        <f t="shared" si="0"/>
        <v>0</v>
      </c>
      <c r="Q5" s="22">
        <f t="shared" si="0"/>
        <v>0</v>
      </c>
    </row>
  </sheetData>
  <sheetProtection selectLockedCells="1" autoFilter="0" pivotTables="0"/>
  <conditionalFormatting sqref="AE4:AQ4">
    <cfRule type="cellIs" dxfId="35" priority="1" operator="lessThan">
      <formula>0</formula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EB679-E2F6-48FC-9783-FAD135DA127E}">
  <sheetPr codeName="List4">
    <pageSetUpPr fitToPage="1"/>
  </sheetPr>
  <dimension ref="A1"/>
  <sheetViews>
    <sheetView showGridLines="0" showRowColHeaders="0" workbookViewId="0">
      <selection activeCell="C11" sqref="C11"/>
    </sheetView>
  </sheetViews>
  <sheetFormatPr defaultRowHeight="15" x14ac:dyDescent="0.35"/>
  <sheetData/>
  <sheetProtection selectLockedCells="1" autoFilter="0" pivotTables="0"/>
  <dataConsolidate/>
  <pageMargins left="0.7" right="0.7" top="0.78740157499999996" bottom="0.78740157499999996" header="0.3" footer="0.3"/>
  <pageSetup paperSize="9" scale="3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88D6E-27E2-4982-ABD0-72B2A7B0BB0F}">
  <sheetPr codeName="List8">
    <tabColor theme="0" tint="-4.9989318521683403E-2"/>
  </sheetPr>
  <dimension ref="B2:F9"/>
  <sheetViews>
    <sheetView showGridLines="0" showRowColHeaders="0" workbookViewId="0">
      <selection activeCell="C5" sqref="C5"/>
    </sheetView>
  </sheetViews>
  <sheetFormatPr defaultRowHeight="15" x14ac:dyDescent="0.35"/>
  <cols>
    <col min="1" max="1" width="3.109375" customWidth="1"/>
    <col min="2" max="2" width="16.33203125" customWidth="1"/>
    <col min="3" max="3" width="10" customWidth="1"/>
    <col min="6" max="6" width="10.109375" customWidth="1"/>
  </cols>
  <sheetData>
    <row r="2" spans="2:6" x14ac:dyDescent="0.35">
      <c r="B2" t="s">
        <v>0</v>
      </c>
      <c r="C2" t="s">
        <v>112</v>
      </c>
      <c r="F2" s="1" t="s">
        <v>109</v>
      </c>
    </row>
    <row r="3" spans="2:6" x14ac:dyDescent="0.35">
      <c r="B3" t="s">
        <v>1</v>
      </c>
      <c r="C3" t="s">
        <v>113</v>
      </c>
      <c r="F3" s="1" t="s">
        <v>110</v>
      </c>
    </row>
    <row r="4" spans="2:6" x14ac:dyDescent="0.35">
      <c r="B4" t="s">
        <v>2</v>
      </c>
      <c r="C4" t="s">
        <v>117</v>
      </c>
      <c r="F4" s="1" t="s">
        <v>111</v>
      </c>
    </row>
    <row r="5" spans="2:6" x14ac:dyDescent="0.35">
      <c r="B5" t="s">
        <v>3</v>
      </c>
      <c r="C5" s="1"/>
      <c r="F5" s="1" t="s">
        <v>4</v>
      </c>
    </row>
    <row r="6" spans="2:6" x14ac:dyDescent="0.35">
      <c r="B6" t="s">
        <v>5</v>
      </c>
    </row>
    <row r="7" spans="2:6" x14ac:dyDescent="0.35">
      <c r="B7" t="s">
        <v>123</v>
      </c>
      <c r="C7">
        <v>10662691</v>
      </c>
    </row>
    <row r="8" spans="2:6" x14ac:dyDescent="0.35">
      <c r="B8" t="s">
        <v>124</v>
      </c>
      <c r="C8">
        <v>13750737</v>
      </c>
    </row>
    <row r="9" spans="2:6" x14ac:dyDescent="0.35">
      <c r="B9" t="s">
        <v>305</v>
      </c>
      <c r="C9" t="b" cm="1">
        <f t="array" aca="1" ref="C9" ca="1">IF(ISERR(_xludf.INFO("isexe")),FALSE,_xludf.INFO("isexe"))</f>
        <v>0</v>
      </c>
    </row>
  </sheetData>
  <sheetProtection selectLockedCells="1" autoFilter="0" pivotTables="0"/>
  <dataConsolidate/>
  <phoneticPr fontId="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1346-E993-41D2-A6CB-BFC377B732C5}">
  <sheetPr codeName="List6"/>
  <dimension ref="A1:G2618"/>
  <sheetViews>
    <sheetView showGridLines="0" workbookViewId="0">
      <selection activeCell="G1" sqref="G1:G1048576"/>
    </sheetView>
  </sheetViews>
  <sheetFormatPr defaultRowHeight="15" x14ac:dyDescent="0.35"/>
  <cols>
    <col min="1" max="1" width="10.33203125" customWidth="1"/>
    <col min="3" max="3" width="9.88671875" customWidth="1"/>
    <col min="4" max="4" width="45.44140625" bestFit="1" customWidth="1"/>
    <col min="5" max="5" width="52.33203125" bestFit="1" customWidth="1"/>
    <col min="7" max="7" width="13.109375" customWidth="1"/>
    <col min="8" max="9" width="16.44140625" customWidth="1"/>
  </cols>
  <sheetData>
    <row r="1" spans="1:7" x14ac:dyDescent="0.35">
      <c r="A1" t="s">
        <v>306</v>
      </c>
      <c r="B1" t="s">
        <v>307</v>
      </c>
      <c r="C1" t="s">
        <v>308</v>
      </c>
      <c r="D1" t="s">
        <v>309</v>
      </c>
      <c r="E1" t="s">
        <v>120</v>
      </c>
      <c r="F1" t="s">
        <v>121</v>
      </c>
      <c r="G1" t="s">
        <v>310</v>
      </c>
    </row>
    <row r="2" spans="1:7" x14ac:dyDescent="0.35">
      <c r="A2">
        <v>2024</v>
      </c>
      <c r="B2">
        <v>4</v>
      </c>
      <c r="C2" t="s">
        <v>311</v>
      </c>
      <c r="E2" t="s">
        <v>132</v>
      </c>
      <c r="F2" t="s">
        <v>312</v>
      </c>
      <c r="G2">
        <v>0</v>
      </c>
    </row>
    <row r="3" spans="1:7" x14ac:dyDescent="0.35">
      <c r="A3">
        <v>2024</v>
      </c>
      <c r="B3">
        <v>4</v>
      </c>
      <c r="C3" t="s">
        <v>311</v>
      </c>
      <c r="D3" t="s">
        <v>59</v>
      </c>
      <c r="E3" t="s">
        <v>133</v>
      </c>
      <c r="F3" t="s">
        <v>313</v>
      </c>
      <c r="G3">
        <v>2550</v>
      </c>
    </row>
    <row r="4" spans="1:7" x14ac:dyDescent="0.35">
      <c r="A4">
        <v>2024</v>
      </c>
      <c r="B4">
        <v>4</v>
      </c>
      <c r="C4" t="s">
        <v>311</v>
      </c>
      <c r="D4" t="s">
        <v>38</v>
      </c>
      <c r="E4" t="s">
        <v>122</v>
      </c>
      <c r="F4" t="s">
        <v>314</v>
      </c>
      <c r="G4">
        <v>5819</v>
      </c>
    </row>
    <row r="5" spans="1:7" x14ac:dyDescent="0.35">
      <c r="A5">
        <v>2024</v>
      </c>
      <c r="B5">
        <v>4</v>
      </c>
      <c r="C5" t="s">
        <v>311</v>
      </c>
      <c r="D5" t="s">
        <v>6</v>
      </c>
      <c r="E5" t="s">
        <v>135</v>
      </c>
      <c r="F5" t="s">
        <v>316</v>
      </c>
      <c r="G5">
        <v>3962</v>
      </c>
    </row>
    <row r="6" spans="1:7" x14ac:dyDescent="0.35">
      <c r="A6">
        <v>2024</v>
      </c>
      <c r="B6">
        <v>4</v>
      </c>
      <c r="C6" t="s">
        <v>311</v>
      </c>
      <c r="D6" t="s">
        <v>6</v>
      </c>
      <c r="E6" t="s">
        <v>136</v>
      </c>
      <c r="F6" t="s">
        <v>317</v>
      </c>
      <c r="G6">
        <v>54971</v>
      </c>
    </row>
    <row r="7" spans="1:7" x14ac:dyDescent="0.35">
      <c r="A7">
        <v>2024</v>
      </c>
      <c r="B7">
        <v>4</v>
      </c>
      <c r="C7" t="s">
        <v>311</v>
      </c>
      <c r="D7" t="s">
        <v>6</v>
      </c>
      <c r="E7" t="s">
        <v>137</v>
      </c>
      <c r="F7" t="s">
        <v>318</v>
      </c>
      <c r="G7">
        <v>27416</v>
      </c>
    </row>
    <row r="8" spans="1:7" x14ac:dyDescent="0.35">
      <c r="A8">
        <v>2024</v>
      </c>
      <c r="B8">
        <v>4</v>
      </c>
      <c r="C8" t="s">
        <v>311</v>
      </c>
      <c r="D8" t="s">
        <v>6</v>
      </c>
      <c r="E8" t="s">
        <v>138</v>
      </c>
      <c r="F8" t="s">
        <v>319</v>
      </c>
      <c r="G8">
        <v>18269</v>
      </c>
    </row>
    <row r="9" spans="1:7" x14ac:dyDescent="0.35">
      <c r="A9">
        <v>2024</v>
      </c>
      <c r="B9">
        <v>4</v>
      </c>
      <c r="C9" t="s">
        <v>311</v>
      </c>
      <c r="D9" t="s">
        <v>62</v>
      </c>
      <c r="E9" t="s">
        <v>139</v>
      </c>
      <c r="F9" t="s">
        <v>320</v>
      </c>
      <c r="G9">
        <v>309</v>
      </c>
    </row>
    <row r="10" spans="1:7" x14ac:dyDescent="0.35">
      <c r="A10">
        <v>2024</v>
      </c>
      <c r="B10">
        <v>4</v>
      </c>
      <c r="C10" t="s">
        <v>311</v>
      </c>
      <c r="D10" t="s">
        <v>62</v>
      </c>
      <c r="E10" t="s">
        <v>140</v>
      </c>
      <c r="F10" t="s">
        <v>321</v>
      </c>
      <c r="G10">
        <v>19000</v>
      </c>
    </row>
    <row r="11" spans="1:7" x14ac:dyDescent="0.35">
      <c r="A11">
        <v>2024</v>
      </c>
      <c r="B11">
        <v>4</v>
      </c>
      <c r="C11" t="s">
        <v>311</v>
      </c>
      <c r="D11" t="s">
        <v>62</v>
      </c>
      <c r="E11" t="s">
        <v>141</v>
      </c>
      <c r="F11" t="s">
        <v>322</v>
      </c>
      <c r="G11">
        <v>-106</v>
      </c>
    </row>
    <row r="12" spans="1:7" x14ac:dyDescent="0.35">
      <c r="A12">
        <v>2024</v>
      </c>
      <c r="B12">
        <v>4</v>
      </c>
      <c r="C12" t="s">
        <v>311</v>
      </c>
      <c r="D12" t="s">
        <v>19</v>
      </c>
      <c r="E12" t="s">
        <v>142</v>
      </c>
      <c r="F12" t="s">
        <v>323</v>
      </c>
      <c r="G12">
        <v>231</v>
      </c>
    </row>
    <row r="13" spans="1:7" x14ac:dyDescent="0.35">
      <c r="A13">
        <v>2024</v>
      </c>
      <c r="B13">
        <v>4</v>
      </c>
      <c r="C13" t="s">
        <v>311</v>
      </c>
      <c r="D13" t="s">
        <v>31</v>
      </c>
      <c r="E13" t="s">
        <v>143</v>
      </c>
      <c r="F13" t="s">
        <v>324</v>
      </c>
      <c r="G13">
        <v>453200</v>
      </c>
    </row>
    <row r="14" spans="1:7" x14ac:dyDescent="0.35">
      <c r="A14">
        <v>2024</v>
      </c>
      <c r="B14">
        <v>4</v>
      </c>
      <c r="C14" t="s">
        <v>311</v>
      </c>
      <c r="D14" t="s">
        <v>26</v>
      </c>
      <c r="E14" t="s">
        <v>144</v>
      </c>
      <c r="F14" t="s">
        <v>325</v>
      </c>
      <c r="G14">
        <v>4364</v>
      </c>
    </row>
    <row r="15" spans="1:7" x14ac:dyDescent="0.35">
      <c r="A15">
        <v>2024</v>
      </c>
      <c r="B15">
        <v>4</v>
      </c>
      <c r="C15" t="s">
        <v>311</v>
      </c>
      <c r="D15" t="s">
        <v>41</v>
      </c>
      <c r="E15" t="s">
        <v>145</v>
      </c>
      <c r="F15" t="s">
        <v>326</v>
      </c>
      <c r="G15">
        <v>14000</v>
      </c>
    </row>
    <row r="16" spans="1:7" x14ac:dyDescent="0.35">
      <c r="A16">
        <v>2024</v>
      </c>
      <c r="B16">
        <v>4</v>
      </c>
      <c r="C16" t="s">
        <v>311</v>
      </c>
      <c r="D16" t="s">
        <v>42</v>
      </c>
      <c r="E16" t="s">
        <v>146</v>
      </c>
      <c r="F16" t="s">
        <v>327</v>
      </c>
      <c r="G16">
        <v>23489</v>
      </c>
    </row>
    <row r="17" spans="1:7" x14ac:dyDescent="0.35">
      <c r="A17">
        <v>2024</v>
      </c>
      <c r="B17">
        <v>4</v>
      </c>
      <c r="C17" t="s">
        <v>311</v>
      </c>
      <c r="D17" t="s">
        <v>7</v>
      </c>
      <c r="E17" t="s">
        <v>147</v>
      </c>
      <c r="F17" t="s">
        <v>328</v>
      </c>
      <c r="G17">
        <v>42058</v>
      </c>
    </row>
    <row r="18" spans="1:7" x14ac:dyDescent="0.35">
      <c r="A18">
        <v>2024</v>
      </c>
      <c r="B18">
        <v>4</v>
      </c>
      <c r="C18" t="s">
        <v>311</v>
      </c>
      <c r="D18" t="s">
        <v>67</v>
      </c>
      <c r="E18" t="s">
        <v>148</v>
      </c>
      <c r="F18" t="s">
        <v>329</v>
      </c>
      <c r="G18">
        <v>1903</v>
      </c>
    </row>
    <row r="19" spans="1:7" x14ac:dyDescent="0.35">
      <c r="A19">
        <v>2024</v>
      </c>
      <c r="B19">
        <v>4</v>
      </c>
      <c r="C19" t="s">
        <v>311</v>
      </c>
      <c r="D19" t="s">
        <v>67</v>
      </c>
      <c r="E19" t="s">
        <v>149</v>
      </c>
      <c r="F19" t="s">
        <v>330</v>
      </c>
      <c r="G19">
        <v>7958</v>
      </c>
    </row>
    <row r="20" spans="1:7" x14ac:dyDescent="0.35">
      <c r="A20">
        <v>2024</v>
      </c>
      <c r="B20">
        <v>4</v>
      </c>
      <c r="C20" t="s">
        <v>311</v>
      </c>
      <c r="D20" t="s">
        <v>67</v>
      </c>
      <c r="E20" t="s">
        <v>150</v>
      </c>
      <c r="F20" t="s">
        <v>331</v>
      </c>
      <c r="G20">
        <v>20192</v>
      </c>
    </row>
    <row r="21" spans="1:7" x14ac:dyDescent="0.35">
      <c r="A21">
        <v>2024</v>
      </c>
      <c r="B21">
        <v>4</v>
      </c>
      <c r="C21" t="s">
        <v>311</v>
      </c>
      <c r="D21" t="s">
        <v>67</v>
      </c>
      <c r="E21" t="s">
        <v>151</v>
      </c>
      <c r="F21" t="s">
        <v>332</v>
      </c>
      <c r="G21">
        <v>14012</v>
      </c>
    </row>
    <row r="22" spans="1:7" x14ac:dyDescent="0.35">
      <c r="A22">
        <v>2024</v>
      </c>
      <c r="B22">
        <v>4</v>
      </c>
      <c r="C22" t="s">
        <v>311</v>
      </c>
      <c r="D22" t="s">
        <v>67</v>
      </c>
      <c r="E22" t="s">
        <v>152</v>
      </c>
      <c r="F22" t="s">
        <v>333</v>
      </c>
      <c r="G22">
        <v>6965</v>
      </c>
    </row>
    <row r="23" spans="1:7" x14ac:dyDescent="0.35">
      <c r="A23">
        <v>2024</v>
      </c>
      <c r="B23">
        <v>4</v>
      </c>
      <c r="C23" t="s">
        <v>311</v>
      </c>
      <c r="D23" t="s">
        <v>93</v>
      </c>
      <c r="E23" t="s">
        <v>153</v>
      </c>
      <c r="F23" t="s">
        <v>334</v>
      </c>
      <c r="G23">
        <v>127868.02</v>
      </c>
    </row>
    <row r="24" spans="1:7" x14ac:dyDescent="0.35">
      <c r="A24">
        <v>2024</v>
      </c>
      <c r="B24">
        <v>4</v>
      </c>
      <c r="C24" t="s">
        <v>311</v>
      </c>
      <c r="D24" t="s">
        <v>93</v>
      </c>
      <c r="E24" t="s">
        <v>154</v>
      </c>
      <c r="F24" t="s">
        <v>335</v>
      </c>
      <c r="G24">
        <v>25446.33</v>
      </c>
    </row>
    <row r="25" spans="1:7" x14ac:dyDescent="0.35">
      <c r="A25">
        <v>2024</v>
      </c>
      <c r="B25">
        <v>4</v>
      </c>
      <c r="C25" t="s">
        <v>311</v>
      </c>
      <c r="D25" t="s">
        <v>89</v>
      </c>
      <c r="E25" t="s">
        <v>155</v>
      </c>
      <c r="F25" t="s">
        <v>336</v>
      </c>
      <c r="G25">
        <v>-77078.350000000006</v>
      </c>
    </row>
    <row r="26" spans="1:7" x14ac:dyDescent="0.35">
      <c r="A26">
        <v>2024</v>
      </c>
      <c r="B26">
        <v>4</v>
      </c>
      <c r="C26" t="s">
        <v>311</v>
      </c>
      <c r="D26" t="s">
        <v>89</v>
      </c>
      <c r="E26" t="s">
        <v>156</v>
      </c>
      <c r="F26" t="s">
        <v>337</v>
      </c>
      <c r="G26">
        <v>367039.76</v>
      </c>
    </row>
    <row r="27" spans="1:7" x14ac:dyDescent="0.35">
      <c r="A27">
        <v>2024</v>
      </c>
      <c r="B27">
        <v>4</v>
      </c>
      <c r="C27" t="s">
        <v>311</v>
      </c>
      <c r="D27" t="s">
        <v>8</v>
      </c>
      <c r="E27" t="s">
        <v>157</v>
      </c>
      <c r="F27" t="s">
        <v>338</v>
      </c>
      <c r="G27">
        <v>1905</v>
      </c>
    </row>
    <row r="28" spans="1:7" x14ac:dyDescent="0.35">
      <c r="A28">
        <v>2024</v>
      </c>
      <c r="B28">
        <v>4</v>
      </c>
      <c r="C28" t="s">
        <v>311</v>
      </c>
      <c r="D28" t="s">
        <v>20</v>
      </c>
      <c r="E28" t="s">
        <v>158</v>
      </c>
      <c r="F28" t="s">
        <v>339</v>
      </c>
      <c r="G28">
        <v>1144610</v>
      </c>
    </row>
    <row r="29" spans="1:7" x14ac:dyDescent="0.35">
      <c r="A29">
        <v>2024</v>
      </c>
      <c r="B29">
        <v>4</v>
      </c>
      <c r="C29" t="s">
        <v>311</v>
      </c>
      <c r="D29" t="s">
        <v>21</v>
      </c>
      <c r="E29" t="s">
        <v>159</v>
      </c>
      <c r="F29" t="s">
        <v>340</v>
      </c>
      <c r="G29">
        <v>397562</v>
      </c>
    </row>
    <row r="30" spans="1:7" x14ac:dyDescent="0.35">
      <c r="A30">
        <v>2024</v>
      </c>
      <c r="B30">
        <v>4</v>
      </c>
      <c r="C30" t="s">
        <v>311</v>
      </c>
      <c r="D30" t="s">
        <v>160</v>
      </c>
      <c r="E30" t="s">
        <v>161</v>
      </c>
      <c r="F30" t="s">
        <v>341</v>
      </c>
      <c r="G30">
        <v>4570</v>
      </c>
    </row>
    <row r="31" spans="1:7" x14ac:dyDescent="0.35">
      <c r="A31">
        <v>2024</v>
      </c>
      <c r="B31">
        <v>4</v>
      </c>
      <c r="C31" t="s">
        <v>311</v>
      </c>
      <c r="D31" t="s">
        <v>32</v>
      </c>
      <c r="E31" t="s">
        <v>162</v>
      </c>
      <c r="F31" t="s">
        <v>342</v>
      </c>
      <c r="G31">
        <v>6587</v>
      </c>
    </row>
    <row r="32" spans="1:7" x14ac:dyDescent="0.35">
      <c r="A32">
        <v>2024</v>
      </c>
      <c r="B32">
        <v>4</v>
      </c>
      <c r="C32" t="s">
        <v>311</v>
      </c>
      <c r="D32" t="s">
        <v>163</v>
      </c>
      <c r="E32" t="s">
        <v>164</v>
      </c>
      <c r="F32" t="s">
        <v>343</v>
      </c>
      <c r="G32">
        <v>0</v>
      </c>
    </row>
    <row r="33" spans="1:7" x14ac:dyDescent="0.35">
      <c r="A33">
        <v>2024</v>
      </c>
      <c r="B33">
        <v>4</v>
      </c>
      <c r="C33" t="s">
        <v>311</v>
      </c>
      <c r="D33" t="s">
        <v>22</v>
      </c>
      <c r="E33" t="s">
        <v>165</v>
      </c>
      <c r="F33" t="s">
        <v>344</v>
      </c>
      <c r="G33">
        <v>7585</v>
      </c>
    </row>
    <row r="34" spans="1:7" x14ac:dyDescent="0.35">
      <c r="A34">
        <v>2024</v>
      </c>
      <c r="B34">
        <v>4</v>
      </c>
      <c r="C34" t="s">
        <v>311</v>
      </c>
      <c r="D34" t="s">
        <v>27</v>
      </c>
      <c r="E34" t="s">
        <v>166</v>
      </c>
      <c r="F34" t="s">
        <v>345</v>
      </c>
      <c r="G34">
        <v>33130</v>
      </c>
    </row>
    <row r="35" spans="1:7" x14ac:dyDescent="0.35">
      <c r="A35">
        <v>2024</v>
      </c>
      <c r="B35">
        <v>4</v>
      </c>
      <c r="C35" t="s">
        <v>311</v>
      </c>
      <c r="D35" t="s">
        <v>167</v>
      </c>
      <c r="E35" t="s">
        <v>167</v>
      </c>
      <c r="F35" t="s">
        <v>346</v>
      </c>
      <c r="G35">
        <v>14048412</v>
      </c>
    </row>
    <row r="36" spans="1:7" x14ac:dyDescent="0.35">
      <c r="A36">
        <v>2024</v>
      </c>
      <c r="B36">
        <v>4</v>
      </c>
      <c r="C36" t="s">
        <v>311</v>
      </c>
      <c r="D36" t="s">
        <v>9</v>
      </c>
      <c r="E36" t="s">
        <v>168</v>
      </c>
      <c r="F36" t="s">
        <v>347</v>
      </c>
      <c r="G36">
        <v>26811</v>
      </c>
    </row>
    <row r="37" spans="1:7" x14ac:dyDescent="0.35">
      <c r="A37">
        <v>2024</v>
      </c>
      <c r="B37">
        <v>4</v>
      </c>
      <c r="C37" t="s">
        <v>311</v>
      </c>
      <c r="D37" t="s">
        <v>9</v>
      </c>
      <c r="E37" t="s">
        <v>169</v>
      </c>
      <c r="F37" t="s">
        <v>348</v>
      </c>
      <c r="G37">
        <v>26742</v>
      </c>
    </row>
    <row r="38" spans="1:7" x14ac:dyDescent="0.35">
      <c r="A38">
        <v>2024</v>
      </c>
      <c r="B38">
        <v>4</v>
      </c>
      <c r="C38" t="s">
        <v>311</v>
      </c>
      <c r="D38" t="s">
        <v>72</v>
      </c>
      <c r="E38" t="s">
        <v>170</v>
      </c>
      <c r="F38" t="s">
        <v>349</v>
      </c>
      <c r="G38">
        <v>147340</v>
      </c>
    </row>
    <row r="39" spans="1:7" x14ac:dyDescent="0.35">
      <c r="A39">
        <v>2024</v>
      </c>
      <c r="B39">
        <v>4</v>
      </c>
      <c r="C39" t="s">
        <v>311</v>
      </c>
      <c r="D39" t="s">
        <v>39</v>
      </c>
      <c r="E39" t="s">
        <v>171</v>
      </c>
      <c r="F39" t="s">
        <v>350</v>
      </c>
      <c r="G39">
        <v>388</v>
      </c>
    </row>
    <row r="40" spans="1:7" x14ac:dyDescent="0.35">
      <c r="A40">
        <v>2024</v>
      </c>
      <c r="B40">
        <v>4</v>
      </c>
      <c r="C40" t="s">
        <v>311</v>
      </c>
      <c r="D40" t="s">
        <v>10</v>
      </c>
      <c r="E40" t="s">
        <v>172</v>
      </c>
      <c r="F40" t="s">
        <v>351</v>
      </c>
      <c r="G40">
        <v>6316</v>
      </c>
    </row>
    <row r="41" spans="1:7" x14ac:dyDescent="0.35">
      <c r="A41">
        <v>2024</v>
      </c>
      <c r="B41">
        <v>4</v>
      </c>
      <c r="C41" t="s">
        <v>311</v>
      </c>
      <c r="D41" t="s">
        <v>66</v>
      </c>
      <c r="E41" t="s">
        <v>173</v>
      </c>
      <c r="F41" t="s">
        <v>352</v>
      </c>
      <c r="G41">
        <v>441181</v>
      </c>
    </row>
    <row r="42" spans="1:7" x14ac:dyDescent="0.35">
      <c r="A42">
        <v>2024</v>
      </c>
      <c r="B42">
        <v>4</v>
      </c>
      <c r="C42" t="s">
        <v>311</v>
      </c>
      <c r="D42" t="s">
        <v>66</v>
      </c>
      <c r="E42" t="s">
        <v>174</v>
      </c>
      <c r="F42" t="s">
        <v>353</v>
      </c>
      <c r="G42">
        <v>21917</v>
      </c>
    </row>
    <row r="43" spans="1:7" x14ac:dyDescent="0.35">
      <c r="A43">
        <v>2024</v>
      </c>
      <c r="B43">
        <v>4</v>
      </c>
      <c r="C43" t="s">
        <v>311</v>
      </c>
      <c r="D43" t="s">
        <v>66</v>
      </c>
      <c r="E43" t="s">
        <v>175</v>
      </c>
      <c r="F43" t="s">
        <v>354</v>
      </c>
      <c r="G43">
        <v>875</v>
      </c>
    </row>
    <row r="44" spans="1:7" x14ac:dyDescent="0.35">
      <c r="A44">
        <v>2024</v>
      </c>
      <c r="B44">
        <v>4</v>
      </c>
      <c r="C44" t="s">
        <v>311</v>
      </c>
      <c r="D44" t="s">
        <v>66</v>
      </c>
      <c r="E44" t="s">
        <v>176</v>
      </c>
      <c r="F44" t="s">
        <v>355</v>
      </c>
      <c r="G44">
        <v>45317</v>
      </c>
    </row>
    <row r="45" spans="1:7" x14ac:dyDescent="0.35">
      <c r="A45">
        <v>2024</v>
      </c>
      <c r="B45">
        <v>4</v>
      </c>
      <c r="C45" t="s">
        <v>311</v>
      </c>
      <c r="D45" t="s">
        <v>66</v>
      </c>
      <c r="E45" t="s">
        <v>177</v>
      </c>
      <c r="F45" t="s">
        <v>356</v>
      </c>
      <c r="G45">
        <v>63282</v>
      </c>
    </row>
    <row r="46" spans="1:7" x14ac:dyDescent="0.35">
      <c r="A46">
        <v>2024</v>
      </c>
      <c r="B46">
        <v>4</v>
      </c>
      <c r="C46" t="s">
        <v>311</v>
      </c>
      <c r="D46" t="s">
        <v>66</v>
      </c>
      <c r="E46" t="s">
        <v>178</v>
      </c>
      <c r="F46" t="s">
        <v>357</v>
      </c>
      <c r="G46">
        <v>7163</v>
      </c>
    </row>
    <row r="47" spans="1:7" x14ac:dyDescent="0.35">
      <c r="A47">
        <v>2024</v>
      </c>
      <c r="B47">
        <v>4</v>
      </c>
      <c r="C47" t="s">
        <v>311</v>
      </c>
      <c r="D47" t="s">
        <v>11</v>
      </c>
      <c r="E47" t="s">
        <v>179</v>
      </c>
      <c r="F47" t="s">
        <v>180</v>
      </c>
      <c r="G47">
        <v>15390</v>
      </c>
    </row>
    <row r="48" spans="1:7" x14ac:dyDescent="0.35">
      <c r="A48">
        <v>2024</v>
      </c>
      <c r="B48">
        <v>4</v>
      </c>
      <c r="C48" t="s">
        <v>311</v>
      </c>
      <c r="D48" t="s">
        <v>181</v>
      </c>
      <c r="E48" t="s">
        <v>181</v>
      </c>
      <c r="F48" t="s">
        <v>358</v>
      </c>
      <c r="G48">
        <v>-724082</v>
      </c>
    </row>
    <row r="49" spans="1:7" x14ac:dyDescent="0.35">
      <c r="A49">
        <v>2024</v>
      </c>
      <c r="B49">
        <v>4</v>
      </c>
      <c r="C49" t="s">
        <v>311</v>
      </c>
      <c r="D49" t="s">
        <v>182</v>
      </c>
      <c r="E49" t="s">
        <v>182</v>
      </c>
      <c r="F49" t="s">
        <v>359</v>
      </c>
      <c r="G49">
        <v>-3728511</v>
      </c>
    </row>
    <row r="50" spans="1:7" x14ac:dyDescent="0.35">
      <c r="A50">
        <v>2024</v>
      </c>
      <c r="B50">
        <v>4</v>
      </c>
      <c r="C50" t="s">
        <v>311</v>
      </c>
      <c r="D50" t="s">
        <v>74</v>
      </c>
      <c r="E50" t="s">
        <v>205</v>
      </c>
      <c r="F50" t="s">
        <v>384</v>
      </c>
      <c r="G50">
        <v>11923</v>
      </c>
    </row>
    <row r="51" spans="1:7" x14ac:dyDescent="0.35">
      <c r="A51">
        <v>2024</v>
      </c>
      <c r="B51">
        <v>4</v>
      </c>
      <c r="C51" t="s">
        <v>311</v>
      </c>
      <c r="D51" t="s">
        <v>74</v>
      </c>
      <c r="E51" t="s">
        <v>183</v>
      </c>
      <c r="F51" t="s">
        <v>360</v>
      </c>
      <c r="G51">
        <v>2422</v>
      </c>
    </row>
    <row r="52" spans="1:7" x14ac:dyDescent="0.35">
      <c r="A52">
        <v>2024</v>
      </c>
      <c r="B52">
        <v>4</v>
      </c>
      <c r="C52" t="s">
        <v>311</v>
      </c>
      <c r="D52" t="s">
        <v>74</v>
      </c>
      <c r="E52" t="s">
        <v>184</v>
      </c>
      <c r="F52" t="s">
        <v>361</v>
      </c>
      <c r="G52">
        <v>3742</v>
      </c>
    </row>
    <row r="53" spans="1:7" x14ac:dyDescent="0.35">
      <c r="A53">
        <v>2024</v>
      </c>
      <c r="B53">
        <v>4</v>
      </c>
      <c r="C53" t="s">
        <v>311</v>
      </c>
      <c r="D53" t="s">
        <v>74</v>
      </c>
      <c r="E53" t="s">
        <v>185</v>
      </c>
      <c r="F53" t="s">
        <v>362</v>
      </c>
      <c r="G53">
        <v>24936</v>
      </c>
    </row>
    <row r="54" spans="1:7" x14ac:dyDescent="0.35">
      <c r="A54">
        <v>2024</v>
      </c>
      <c r="B54">
        <v>4</v>
      </c>
      <c r="C54" t="s">
        <v>311</v>
      </c>
      <c r="D54" t="s">
        <v>74</v>
      </c>
      <c r="E54" t="s">
        <v>298</v>
      </c>
      <c r="F54" t="s">
        <v>363</v>
      </c>
      <c r="G54">
        <v>223</v>
      </c>
    </row>
    <row r="55" spans="1:7" x14ac:dyDescent="0.35">
      <c r="A55">
        <v>2024</v>
      </c>
      <c r="B55">
        <v>4</v>
      </c>
      <c r="C55" t="s">
        <v>311</v>
      </c>
      <c r="D55" t="s">
        <v>74</v>
      </c>
      <c r="E55" t="s">
        <v>186</v>
      </c>
      <c r="F55" t="s">
        <v>364</v>
      </c>
      <c r="G55">
        <v>190</v>
      </c>
    </row>
    <row r="56" spans="1:7" x14ac:dyDescent="0.35">
      <c r="A56">
        <v>2024</v>
      </c>
      <c r="B56">
        <v>4</v>
      </c>
      <c r="C56" t="s">
        <v>311</v>
      </c>
      <c r="D56" t="s">
        <v>74</v>
      </c>
      <c r="E56" t="s">
        <v>187</v>
      </c>
      <c r="F56" t="s">
        <v>365</v>
      </c>
      <c r="G56">
        <v>5535</v>
      </c>
    </row>
    <row r="57" spans="1:7" x14ac:dyDescent="0.35">
      <c r="A57">
        <v>2024</v>
      </c>
      <c r="B57">
        <v>4</v>
      </c>
      <c r="C57" t="s">
        <v>311</v>
      </c>
      <c r="D57" t="s">
        <v>85</v>
      </c>
      <c r="E57" t="s">
        <v>188</v>
      </c>
      <c r="F57" t="s">
        <v>366</v>
      </c>
      <c r="G57">
        <v>1254322.0900000001</v>
      </c>
    </row>
    <row r="58" spans="1:7" x14ac:dyDescent="0.35">
      <c r="A58">
        <v>2024</v>
      </c>
      <c r="B58">
        <v>4</v>
      </c>
      <c r="C58" t="s">
        <v>311</v>
      </c>
      <c r="D58" t="s">
        <v>106</v>
      </c>
      <c r="E58" t="s">
        <v>189</v>
      </c>
      <c r="F58" t="s">
        <v>367</v>
      </c>
      <c r="G58">
        <v>3293088</v>
      </c>
    </row>
    <row r="59" spans="1:7" x14ac:dyDescent="0.35">
      <c r="A59">
        <v>2024</v>
      </c>
      <c r="B59">
        <v>4</v>
      </c>
      <c r="C59" t="s">
        <v>311</v>
      </c>
      <c r="D59" t="s">
        <v>106</v>
      </c>
      <c r="E59" t="s">
        <v>190</v>
      </c>
      <c r="F59" t="s">
        <v>368</v>
      </c>
      <c r="G59">
        <v>122796</v>
      </c>
    </row>
    <row r="60" spans="1:7" x14ac:dyDescent="0.35">
      <c r="A60">
        <v>2024</v>
      </c>
      <c r="B60">
        <v>4</v>
      </c>
      <c r="C60" t="s">
        <v>311</v>
      </c>
      <c r="D60" t="s">
        <v>106</v>
      </c>
      <c r="E60" t="s">
        <v>191</v>
      </c>
      <c r="F60" t="s">
        <v>369</v>
      </c>
      <c r="G60">
        <v>809751</v>
      </c>
    </row>
    <row r="61" spans="1:7" x14ac:dyDescent="0.35">
      <c r="A61">
        <v>2024</v>
      </c>
      <c r="B61">
        <v>4</v>
      </c>
      <c r="C61" t="s">
        <v>311</v>
      </c>
      <c r="D61" t="s">
        <v>106</v>
      </c>
      <c r="E61" t="s">
        <v>192</v>
      </c>
      <c r="F61" t="s">
        <v>370</v>
      </c>
      <c r="G61">
        <v>293858</v>
      </c>
    </row>
    <row r="62" spans="1:7" x14ac:dyDescent="0.35">
      <c r="A62">
        <v>2024</v>
      </c>
      <c r="B62">
        <v>4</v>
      </c>
      <c r="C62" t="s">
        <v>311</v>
      </c>
      <c r="D62" t="s">
        <v>106</v>
      </c>
      <c r="E62" t="s">
        <v>193</v>
      </c>
      <c r="F62" t="s">
        <v>371</v>
      </c>
      <c r="G62">
        <v>31298</v>
      </c>
    </row>
    <row r="63" spans="1:7" x14ac:dyDescent="0.35">
      <c r="A63">
        <v>2024</v>
      </c>
      <c r="B63">
        <v>4</v>
      </c>
      <c r="C63" t="s">
        <v>311</v>
      </c>
      <c r="D63" t="s">
        <v>106</v>
      </c>
      <c r="E63" t="s">
        <v>194</v>
      </c>
      <c r="F63" t="s">
        <v>372</v>
      </c>
      <c r="G63">
        <v>1750</v>
      </c>
    </row>
    <row r="64" spans="1:7" x14ac:dyDescent="0.35">
      <c r="A64">
        <v>2024</v>
      </c>
      <c r="B64">
        <v>4</v>
      </c>
      <c r="C64" t="s">
        <v>311</v>
      </c>
      <c r="D64" t="s">
        <v>106</v>
      </c>
      <c r="E64" t="s">
        <v>195</v>
      </c>
      <c r="F64" t="s">
        <v>373</v>
      </c>
      <c r="G64">
        <v>128314</v>
      </c>
    </row>
    <row r="65" spans="1:7" x14ac:dyDescent="0.35">
      <c r="A65">
        <v>2024</v>
      </c>
      <c r="B65">
        <v>4</v>
      </c>
      <c r="C65" t="s">
        <v>311</v>
      </c>
      <c r="D65" t="s">
        <v>75</v>
      </c>
      <c r="E65" t="s">
        <v>204</v>
      </c>
      <c r="F65" t="s">
        <v>383</v>
      </c>
      <c r="G65">
        <v>24950</v>
      </c>
    </row>
    <row r="66" spans="1:7" x14ac:dyDescent="0.35">
      <c r="A66">
        <v>2024</v>
      </c>
      <c r="B66">
        <v>4</v>
      </c>
      <c r="C66" t="s">
        <v>311</v>
      </c>
      <c r="D66" t="s">
        <v>23</v>
      </c>
      <c r="E66" t="s">
        <v>206</v>
      </c>
      <c r="F66" t="s">
        <v>385</v>
      </c>
      <c r="G66">
        <v>7593</v>
      </c>
    </row>
    <row r="67" spans="1:7" x14ac:dyDescent="0.35">
      <c r="A67">
        <v>2024</v>
      </c>
      <c r="B67">
        <v>4</v>
      </c>
      <c r="C67" t="s">
        <v>311</v>
      </c>
      <c r="D67" t="s">
        <v>24</v>
      </c>
      <c r="E67" t="s">
        <v>207</v>
      </c>
      <c r="F67" t="s">
        <v>386</v>
      </c>
      <c r="G67">
        <v>70703</v>
      </c>
    </row>
    <row r="68" spans="1:7" x14ac:dyDescent="0.35">
      <c r="A68">
        <v>2024</v>
      </c>
      <c r="B68">
        <v>4</v>
      </c>
      <c r="C68" t="s">
        <v>311</v>
      </c>
      <c r="D68" t="s">
        <v>519</v>
      </c>
      <c r="E68" t="s">
        <v>202</v>
      </c>
      <c r="F68" t="s">
        <v>380</v>
      </c>
      <c r="G68">
        <v>2600</v>
      </c>
    </row>
    <row r="69" spans="1:7" x14ac:dyDescent="0.35">
      <c r="A69">
        <v>2024</v>
      </c>
      <c r="B69">
        <v>4</v>
      </c>
      <c r="C69" t="s">
        <v>311</v>
      </c>
      <c r="D69" t="s">
        <v>519</v>
      </c>
      <c r="E69" t="s">
        <v>203</v>
      </c>
      <c r="F69" t="s">
        <v>381</v>
      </c>
      <c r="G69">
        <v>7144.96</v>
      </c>
    </row>
    <row r="70" spans="1:7" x14ac:dyDescent="0.35">
      <c r="A70">
        <v>2024</v>
      </c>
      <c r="B70">
        <v>4</v>
      </c>
      <c r="C70" t="s">
        <v>311</v>
      </c>
      <c r="D70" t="s">
        <v>519</v>
      </c>
      <c r="E70" t="s">
        <v>196</v>
      </c>
      <c r="F70" t="s">
        <v>382</v>
      </c>
      <c r="G70">
        <v>2.3199999999999998</v>
      </c>
    </row>
    <row r="71" spans="1:7" x14ac:dyDescent="0.35">
      <c r="A71">
        <v>2024</v>
      </c>
      <c r="B71">
        <v>4</v>
      </c>
      <c r="C71" t="s">
        <v>311</v>
      </c>
      <c r="D71" t="s">
        <v>520</v>
      </c>
      <c r="E71" t="s">
        <v>241</v>
      </c>
      <c r="F71" t="s">
        <v>420</v>
      </c>
      <c r="G71">
        <v>744</v>
      </c>
    </row>
    <row r="72" spans="1:7" x14ac:dyDescent="0.35">
      <c r="A72">
        <v>2024</v>
      </c>
      <c r="B72">
        <v>4</v>
      </c>
      <c r="C72" t="s">
        <v>311</v>
      </c>
      <c r="D72" t="s">
        <v>520</v>
      </c>
      <c r="E72" t="s">
        <v>208</v>
      </c>
      <c r="F72" t="s">
        <v>387</v>
      </c>
      <c r="G72">
        <v>60</v>
      </c>
    </row>
    <row r="73" spans="1:7" x14ac:dyDescent="0.35">
      <c r="A73">
        <v>2024</v>
      </c>
      <c r="B73">
        <v>4</v>
      </c>
      <c r="C73" t="s">
        <v>311</v>
      </c>
      <c r="D73" t="s">
        <v>520</v>
      </c>
      <c r="E73" t="s">
        <v>134</v>
      </c>
      <c r="F73" t="s">
        <v>315</v>
      </c>
      <c r="G73">
        <v>13295</v>
      </c>
    </row>
    <row r="74" spans="1:7" x14ac:dyDescent="0.35">
      <c r="A74">
        <v>2024</v>
      </c>
      <c r="B74">
        <v>4</v>
      </c>
      <c r="C74" t="s">
        <v>311</v>
      </c>
      <c r="D74" t="s">
        <v>520</v>
      </c>
      <c r="E74" t="s">
        <v>196</v>
      </c>
      <c r="F74" t="s">
        <v>374</v>
      </c>
      <c r="G74">
        <v>7</v>
      </c>
    </row>
    <row r="75" spans="1:7" x14ac:dyDescent="0.35">
      <c r="A75">
        <v>2024</v>
      </c>
      <c r="B75">
        <v>4</v>
      </c>
      <c r="C75" t="s">
        <v>311</v>
      </c>
      <c r="D75" t="s">
        <v>520</v>
      </c>
      <c r="E75" t="s">
        <v>197</v>
      </c>
      <c r="F75" t="s">
        <v>375</v>
      </c>
      <c r="G75">
        <v>14947</v>
      </c>
    </row>
    <row r="76" spans="1:7" x14ac:dyDescent="0.35">
      <c r="A76">
        <v>2024</v>
      </c>
      <c r="B76">
        <v>4</v>
      </c>
      <c r="C76" t="s">
        <v>311</v>
      </c>
      <c r="D76" t="s">
        <v>520</v>
      </c>
      <c r="E76" t="s">
        <v>198</v>
      </c>
      <c r="F76" t="s">
        <v>376</v>
      </c>
      <c r="G76">
        <v>1720</v>
      </c>
    </row>
    <row r="77" spans="1:7" x14ac:dyDescent="0.35">
      <c r="A77">
        <v>2024</v>
      </c>
      <c r="B77">
        <v>4</v>
      </c>
      <c r="C77" t="s">
        <v>311</v>
      </c>
      <c r="D77" t="s">
        <v>520</v>
      </c>
      <c r="E77" t="s">
        <v>199</v>
      </c>
      <c r="F77" t="s">
        <v>377</v>
      </c>
      <c r="G77">
        <v>56</v>
      </c>
    </row>
    <row r="78" spans="1:7" x14ac:dyDescent="0.35">
      <c r="A78">
        <v>2024</v>
      </c>
      <c r="B78">
        <v>4</v>
      </c>
      <c r="C78" t="s">
        <v>311</v>
      </c>
      <c r="D78" t="s">
        <v>520</v>
      </c>
      <c r="E78" t="s">
        <v>200</v>
      </c>
      <c r="F78" t="s">
        <v>378</v>
      </c>
      <c r="G78">
        <v>2951</v>
      </c>
    </row>
    <row r="79" spans="1:7" x14ac:dyDescent="0.35">
      <c r="A79">
        <v>2024</v>
      </c>
      <c r="B79">
        <v>4</v>
      </c>
      <c r="C79" t="s">
        <v>311</v>
      </c>
      <c r="D79" t="s">
        <v>520</v>
      </c>
      <c r="E79" t="s">
        <v>201</v>
      </c>
      <c r="F79" t="s">
        <v>379</v>
      </c>
      <c r="G79">
        <v>1484</v>
      </c>
    </row>
    <row r="80" spans="1:7" x14ac:dyDescent="0.35">
      <c r="A80">
        <v>2024</v>
      </c>
      <c r="B80">
        <v>4</v>
      </c>
      <c r="C80" t="s">
        <v>311</v>
      </c>
      <c r="D80" t="s">
        <v>33</v>
      </c>
      <c r="E80" t="s">
        <v>209</v>
      </c>
      <c r="F80" t="s">
        <v>388</v>
      </c>
      <c r="G80">
        <v>59782</v>
      </c>
    </row>
    <row r="81" spans="1:7" x14ac:dyDescent="0.35">
      <c r="A81">
        <v>2024</v>
      </c>
      <c r="B81">
        <v>4</v>
      </c>
      <c r="C81" t="s">
        <v>311</v>
      </c>
      <c r="D81" t="s">
        <v>12</v>
      </c>
      <c r="E81" t="s">
        <v>210</v>
      </c>
      <c r="F81" t="s">
        <v>389</v>
      </c>
      <c r="G81">
        <v>4671</v>
      </c>
    </row>
    <row r="82" spans="1:7" x14ac:dyDescent="0.35">
      <c r="A82">
        <v>2024</v>
      </c>
      <c r="B82">
        <v>4</v>
      </c>
      <c r="C82" t="s">
        <v>311</v>
      </c>
      <c r="D82" t="s">
        <v>12</v>
      </c>
      <c r="E82" t="s">
        <v>211</v>
      </c>
      <c r="F82" t="s">
        <v>390</v>
      </c>
      <c r="G82">
        <v>1188</v>
      </c>
    </row>
    <row r="83" spans="1:7" x14ac:dyDescent="0.35">
      <c r="A83">
        <v>2024</v>
      </c>
      <c r="B83">
        <v>4</v>
      </c>
      <c r="C83" t="s">
        <v>311</v>
      </c>
      <c r="D83" t="s">
        <v>12</v>
      </c>
      <c r="E83" t="s">
        <v>212</v>
      </c>
      <c r="F83" t="s">
        <v>391</v>
      </c>
      <c r="G83">
        <v>8452</v>
      </c>
    </row>
    <row r="84" spans="1:7" x14ac:dyDescent="0.35">
      <c r="A84">
        <v>2024</v>
      </c>
      <c r="B84">
        <v>4</v>
      </c>
      <c r="C84" t="s">
        <v>311</v>
      </c>
      <c r="D84" t="s">
        <v>12</v>
      </c>
      <c r="E84" t="s">
        <v>213</v>
      </c>
      <c r="F84" t="s">
        <v>392</v>
      </c>
      <c r="G84">
        <v>7119</v>
      </c>
    </row>
    <row r="85" spans="1:7" x14ac:dyDescent="0.35">
      <c r="A85">
        <v>2024</v>
      </c>
      <c r="B85">
        <v>4</v>
      </c>
      <c r="C85" t="s">
        <v>311</v>
      </c>
      <c r="D85" t="s">
        <v>12</v>
      </c>
      <c r="E85" t="s">
        <v>299</v>
      </c>
      <c r="F85" t="s">
        <v>393</v>
      </c>
      <c r="G85">
        <v>10906</v>
      </c>
    </row>
    <row r="86" spans="1:7" x14ac:dyDescent="0.35">
      <c r="A86">
        <v>2024</v>
      </c>
      <c r="B86">
        <v>4</v>
      </c>
      <c r="C86" t="s">
        <v>311</v>
      </c>
      <c r="D86" t="s">
        <v>12</v>
      </c>
      <c r="E86" t="s">
        <v>214</v>
      </c>
      <c r="F86" t="s">
        <v>394</v>
      </c>
      <c r="G86">
        <v>5293</v>
      </c>
    </row>
    <row r="87" spans="1:7" x14ac:dyDescent="0.35">
      <c r="A87">
        <v>2024</v>
      </c>
      <c r="B87">
        <v>4</v>
      </c>
      <c r="C87" t="s">
        <v>311</v>
      </c>
      <c r="D87" t="s">
        <v>12</v>
      </c>
      <c r="E87" t="s">
        <v>215</v>
      </c>
      <c r="F87" t="s">
        <v>395</v>
      </c>
      <c r="G87">
        <v>1105</v>
      </c>
    </row>
    <row r="88" spans="1:7" x14ac:dyDescent="0.35">
      <c r="A88">
        <v>2024</v>
      </c>
      <c r="B88">
        <v>4</v>
      </c>
      <c r="C88" t="s">
        <v>311</v>
      </c>
      <c r="D88" t="s">
        <v>12</v>
      </c>
      <c r="E88" t="s">
        <v>216</v>
      </c>
      <c r="F88" t="s">
        <v>396</v>
      </c>
      <c r="G88">
        <v>8814</v>
      </c>
    </row>
    <row r="89" spans="1:7" x14ac:dyDescent="0.35">
      <c r="A89">
        <v>2024</v>
      </c>
      <c r="B89">
        <v>4</v>
      </c>
      <c r="C89" t="s">
        <v>311</v>
      </c>
      <c r="D89" t="s">
        <v>12</v>
      </c>
      <c r="E89" t="s">
        <v>217</v>
      </c>
      <c r="F89" t="s">
        <v>397</v>
      </c>
      <c r="G89">
        <v>2554</v>
      </c>
    </row>
    <row r="90" spans="1:7" x14ac:dyDescent="0.35">
      <c r="A90">
        <v>2024</v>
      </c>
      <c r="B90">
        <v>4</v>
      </c>
      <c r="C90" t="s">
        <v>311</v>
      </c>
      <c r="D90" t="s">
        <v>12</v>
      </c>
      <c r="E90" t="s">
        <v>218</v>
      </c>
      <c r="F90" t="s">
        <v>398</v>
      </c>
      <c r="G90">
        <v>8775</v>
      </c>
    </row>
    <row r="91" spans="1:7" x14ac:dyDescent="0.35">
      <c r="A91">
        <v>2024</v>
      </c>
      <c r="B91">
        <v>4</v>
      </c>
      <c r="C91" t="s">
        <v>311</v>
      </c>
      <c r="D91" t="s">
        <v>12</v>
      </c>
      <c r="E91" t="s">
        <v>219</v>
      </c>
      <c r="F91" t="s">
        <v>399</v>
      </c>
      <c r="G91">
        <v>4946</v>
      </c>
    </row>
    <row r="92" spans="1:7" x14ac:dyDescent="0.35">
      <c r="A92">
        <v>2024</v>
      </c>
      <c r="B92">
        <v>4</v>
      </c>
      <c r="C92" t="s">
        <v>311</v>
      </c>
      <c r="D92" t="s">
        <v>12</v>
      </c>
      <c r="E92" t="s">
        <v>220</v>
      </c>
      <c r="F92" t="s">
        <v>400</v>
      </c>
      <c r="G92">
        <v>5514</v>
      </c>
    </row>
    <row r="93" spans="1:7" x14ac:dyDescent="0.35">
      <c r="A93">
        <v>2024</v>
      </c>
      <c r="B93">
        <v>4</v>
      </c>
      <c r="C93" t="s">
        <v>311</v>
      </c>
      <c r="D93" t="s">
        <v>12</v>
      </c>
      <c r="E93" t="s">
        <v>221</v>
      </c>
      <c r="F93" t="s">
        <v>401</v>
      </c>
      <c r="G93">
        <v>3565</v>
      </c>
    </row>
    <row r="94" spans="1:7" x14ac:dyDescent="0.35">
      <c r="A94">
        <v>2024</v>
      </c>
      <c r="B94">
        <v>4</v>
      </c>
      <c r="C94" t="s">
        <v>311</v>
      </c>
      <c r="D94" t="s">
        <v>12</v>
      </c>
      <c r="E94" t="s">
        <v>222</v>
      </c>
      <c r="F94" t="s">
        <v>402</v>
      </c>
      <c r="G94">
        <v>8100</v>
      </c>
    </row>
    <row r="95" spans="1:7" x14ac:dyDescent="0.35">
      <c r="A95">
        <v>2024</v>
      </c>
      <c r="B95">
        <v>4</v>
      </c>
      <c r="C95" t="s">
        <v>311</v>
      </c>
      <c r="D95" t="s">
        <v>28</v>
      </c>
      <c r="E95" t="s">
        <v>223</v>
      </c>
      <c r="F95" t="s">
        <v>403</v>
      </c>
      <c r="G95">
        <v>42250</v>
      </c>
    </row>
    <row r="96" spans="1:7" x14ac:dyDescent="0.35">
      <c r="A96">
        <v>2024</v>
      </c>
      <c r="B96">
        <v>4</v>
      </c>
      <c r="C96" t="s">
        <v>311</v>
      </c>
      <c r="D96" t="s">
        <v>28</v>
      </c>
      <c r="E96" t="s">
        <v>224</v>
      </c>
      <c r="F96" t="s">
        <v>404</v>
      </c>
      <c r="G96">
        <v>14022</v>
      </c>
    </row>
    <row r="97" spans="1:7" x14ac:dyDescent="0.35">
      <c r="A97">
        <v>2024</v>
      </c>
      <c r="B97">
        <v>4</v>
      </c>
      <c r="C97" t="s">
        <v>311</v>
      </c>
      <c r="D97" t="s">
        <v>64</v>
      </c>
      <c r="E97" t="s">
        <v>225</v>
      </c>
      <c r="F97" t="s">
        <v>405</v>
      </c>
      <c r="G97">
        <v>1418</v>
      </c>
    </row>
    <row r="98" spans="1:7" x14ac:dyDescent="0.35">
      <c r="A98">
        <v>2024</v>
      </c>
      <c r="B98">
        <v>4</v>
      </c>
      <c r="C98" t="s">
        <v>311</v>
      </c>
      <c r="D98" t="s">
        <v>29</v>
      </c>
      <c r="E98" t="s">
        <v>226</v>
      </c>
      <c r="F98" t="s">
        <v>406</v>
      </c>
      <c r="G98">
        <v>2381</v>
      </c>
    </row>
    <row r="99" spans="1:7" x14ac:dyDescent="0.35">
      <c r="A99">
        <v>2024</v>
      </c>
      <c r="B99">
        <v>4</v>
      </c>
      <c r="C99" t="s">
        <v>311</v>
      </c>
      <c r="D99" t="s">
        <v>102</v>
      </c>
      <c r="E99" t="s">
        <v>227</v>
      </c>
      <c r="F99" t="s">
        <v>407</v>
      </c>
      <c r="G99">
        <v>1009426</v>
      </c>
    </row>
    <row r="100" spans="1:7" x14ac:dyDescent="0.35">
      <c r="A100">
        <v>2024</v>
      </c>
      <c r="B100">
        <v>4</v>
      </c>
      <c r="C100" t="s">
        <v>311</v>
      </c>
      <c r="D100" t="s">
        <v>25</v>
      </c>
      <c r="E100" t="s">
        <v>228</v>
      </c>
      <c r="F100" t="s">
        <v>408</v>
      </c>
      <c r="G100">
        <v>855</v>
      </c>
    </row>
    <row r="101" spans="1:7" x14ac:dyDescent="0.35">
      <c r="A101">
        <v>2024</v>
      </c>
      <c r="B101">
        <v>4</v>
      </c>
      <c r="C101" t="s">
        <v>311</v>
      </c>
      <c r="D101" t="s">
        <v>229</v>
      </c>
      <c r="E101" t="s">
        <v>230</v>
      </c>
      <c r="F101" t="s">
        <v>409</v>
      </c>
      <c r="G101">
        <v>514978</v>
      </c>
    </row>
    <row r="102" spans="1:7" x14ac:dyDescent="0.35">
      <c r="A102">
        <v>2024</v>
      </c>
      <c r="B102">
        <v>4</v>
      </c>
      <c r="C102" t="s">
        <v>311</v>
      </c>
      <c r="D102" t="s">
        <v>231</v>
      </c>
      <c r="E102" t="s">
        <v>231</v>
      </c>
      <c r="F102" t="s">
        <v>410</v>
      </c>
      <c r="G102">
        <v>5000</v>
      </c>
    </row>
    <row r="103" spans="1:7" x14ac:dyDescent="0.35">
      <c r="A103">
        <v>2024</v>
      </c>
      <c r="B103">
        <v>4</v>
      </c>
      <c r="C103" t="s">
        <v>311</v>
      </c>
      <c r="D103" t="s">
        <v>13</v>
      </c>
      <c r="E103" t="s">
        <v>232</v>
      </c>
      <c r="F103" t="s">
        <v>411</v>
      </c>
      <c r="G103">
        <v>1053</v>
      </c>
    </row>
    <row r="104" spans="1:7" x14ac:dyDescent="0.35">
      <c r="A104">
        <v>2024</v>
      </c>
      <c r="B104">
        <v>4</v>
      </c>
      <c r="C104" t="s">
        <v>311</v>
      </c>
      <c r="D104" t="s">
        <v>94</v>
      </c>
      <c r="E104" t="s">
        <v>233</v>
      </c>
      <c r="F104" t="s">
        <v>412</v>
      </c>
      <c r="G104">
        <v>30300</v>
      </c>
    </row>
    <row r="105" spans="1:7" x14ac:dyDescent="0.35">
      <c r="A105">
        <v>2024</v>
      </c>
      <c r="B105">
        <v>4</v>
      </c>
      <c r="C105" t="s">
        <v>311</v>
      </c>
      <c r="D105" t="s">
        <v>43</v>
      </c>
      <c r="E105" t="s">
        <v>234</v>
      </c>
      <c r="F105" t="s">
        <v>413</v>
      </c>
      <c r="G105">
        <v>12175</v>
      </c>
    </row>
    <row r="106" spans="1:7" x14ac:dyDescent="0.35">
      <c r="A106">
        <v>2024</v>
      </c>
      <c r="B106">
        <v>4</v>
      </c>
      <c r="C106" t="s">
        <v>311</v>
      </c>
      <c r="D106" t="s">
        <v>40</v>
      </c>
      <c r="E106" t="s">
        <v>235</v>
      </c>
      <c r="F106" t="s">
        <v>414</v>
      </c>
      <c r="G106">
        <v>15357</v>
      </c>
    </row>
    <row r="107" spans="1:7" x14ac:dyDescent="0.35">
      <c r="A107">
        <v>2024</v>
      </c>
      <c r="B107">
        <v>4</v>
      </c>
      <c r="C107" t="s">
        <v>311</v>
      </c>
      <c r="D107" t="s">
        <v>76</v>
      </c>
      <c r="E107" t="s">
        <v>236</v>
      </c>
      <c r="F107" t="s">
        <v>415</v>
      </c>
      <c r="G107">
        <v>1756064</v>
      </c>
    </row>
    <row r="108" spans="1:7" x14ac:dyDescent="0.35">
      <c r="A108">
        <v>2024</v>
      </c>
      <c r="B108">
        <v>4</v>
      </c>
      <c r="C108" t="s">
        <v>311</v>
      </c>
      <c r="D108" t="s">
        <v>76</v>
      </c>
      <c r="E108" t="s">
        <v>237</v>
      </c>
      <c r="F108" t="s">
        <v>416</v>
      </c>
      <c r="G108">
        <v>-148859.49</v>
      </c>
    </row>
    <row r="109" spans="1:7" x14ac:dyDescent="0.35">
      <c r="A109">
        <v>2024</v>
      </c>
      <c r="B109">
        <v>4</v>
      </c>
      <c r="C109" t="s">
        <v>311</v>
      </c>
      <c r="D109" t="s">
        <v>76</v>
      </c>
      <c r="E109" t="s">
        <v>238</v>
      </c>
      <c r="F109" t="s">
        <v>417</v>
      </c>
      <c r="G109">
        <v>-137719.91</v>
      </c>
    </row>
    <row r="110" spans="1:7" x14ac:dyDescent="0.35">
      <c r="A110">
        <v>2024</v>
      </c>
      <c r="B110">
        <v>4</v>
      </c>
      <c r="C110" t="s">
        <v>311</v>
      </c>
      <c r="D110" t="s">
        <v>76</v>
      </c>
      <c r="E110" t="s">
        <v>239</v>
      </c>
      <c r="F110" t="s">
        <v>418</v>
      </c>
      <c r="G110">
        <v>-5245293.4800000004</v>
      </c>
    </row>
    <row r="111" spans="1:7" x14ac:dyDescent="0.35">
      <c r="A111">
        <v>2024</v>
      </c>
      <c r="B111">
        <v>4</v>
      </c>
      <c r="C111" t="s">
        <v>311</v>
      </c>
      <c r="D111" t="s">
        <v>35</v>
      </c>
      <c r="E111" t="s">
        <v>240</v>
      </c>
      <c r="F111" t="s">
        <v>419</v>
      </c>
      <c r="G111">
        <v>166250.28</v>
      </c>
    </row>
    <row r="112" spans="1:7" x14ac:dyDescent="0.35">
      <c r="A112">
        <v>2024</v>
      </c>
      <c r="B112">
        <v>4</v>
      </c>
      <c r="C112" t="s">
        <v>311</v>
      </c>
      <c r="D112" t="s">
        <v>103</v>
      </c>
      <c r="E112" t="s">
        <v>242</v>
      </c>
      <c r="F112" t="s">
        <v>421</v>
      </c>
      <c r="G112">
        <v>378881</v>
      </c>
    </row>
    <row r="113" spans="1:7" x14ac:dyDescent="0.35">
      <c r="A113">
        <v>2024</v>
      </c>
      <c r="B113">
        <v>4</v>
      </c>
      <c r="C113" t="s">
        <v>311</v>
      </c>
      <c r="D113" t="s">
        <v>104</v>
      </c>
      <c r="E113" t="s">
        <v>243</v>
      </c>
      <c r="F113" t="s">
        <v>422</v>
      </c>
      <c r="G113">
        <v>10183001</v>
      </c>
    </row>
    <row r="114" spans="1:7" x14ac:dyDescent="0.35">
      <c r="A114">
        <v>2024</v>
      </c>
      <c r="B114">
        <v>4</v>
      </c>
      <c r="C114" t="s">
        <v>311</v>
      </c>
      <c r="D114" t="s">
        <v>244</v>
      </c>
      <c r="E114" t="s">
        <v>245</v>
      </c>
      <c r="F114" t="s">
        <v>423</v>
      </c>
      <c r="G114">
        <v>15001550</v>
      </c>
    </row>
    <row r="115" spans="1:7" x14ac:dyDescent="0.35">
      <c r="A115">
        <v>2024</v>
      </c>
      <c r="B115">
        <v>4</v>
      </c>
      <c r="C115" t="s">
        <v>311</v>
      </c>
      <c r="D115" t="s">
        <v>100</v>
      </c>
      <c r="E115" t="s">
        <v>246</v>
      </c>
      <c r="F115" t="s">
        <v>424</v>
      </c>
      <c r="G115">
        <v>71132</v>
      </c>
    </row>
    <row r="116" spans="1:7" x14ac:dyDescent="0.35">
      <c r="A116">
        <v>2024</v>
      </c>
      <c r="B116">
        <v>4</v>
      </c>
      <c r="C116" t="s">
        <v>311</v>
      </c>
      <c r="D116" t="s">
        <v>14</v>
      </c>
      <c r="E116" t="s">
        <v>131</v>
      </c>
      <c r="F116" t="s">
        <v>425</v>
      </c>
      <c r="G116">
        <v>192623</v>
      </c>
    </row>
    <row r="117" spans="1:7" x14ac:dyDescent="0.35">
      <c r="A117">
        <v>2024</v>
      </c>
      <c r="B117">
        <v>4</v>
      </c>
      <c r="C117" t="s">
        <v>311</v>
      </c>
      <c r="D117" t="s">
        <v>30</v>
      </c>
      <c r="E117" t="s">
        <v>247</v>
      </c>
      <c r="F117" t="s">
        <v>426</v>
      </c>
      <c r="G117">
        <v>21187</v>
      </c>
    </row>
    <row r="118" spans="1:7" x14ac:dyDescent="0.35">
      <c r="A118">
        <v>2024</v>
      </c>
      <c r="B118">
        <v>4</v>
      </c>
      <c r="C118" t="s">
        <v>311</v>
      </c>
      <c r="D118" t="s">
        <v>15</v>
      </c>
      <c r="E118" t="s">
        <v>248</v>
      </c>
      <c r="F118" t="s">
        <v>427</v>
      </c>
      <c r="G118">
        <v>33307</v>
      </c>
    </row>
    <row r="119" spans="1:7" x14ac:dyDescent="0.35">
      <c r="A119">
        <v>2024</v>
      </c>
      <c r="B119">
        <v>4</v>
      </c>
      <c r="C119" t="s">
        <v>311</v>
      </c>
      <c r="D119" t="s">
        <v>90</v>
      </c>
      <c r="E119" t="s">
        <v>249</v>
      </c>
      <c r="F119" t="s">
        <v>428</v>
      </c>
      <c r="G119">
        <v>11266.77</v>
      </c>
    </row>
    <row r="120" spans="1:7" x14ac:dyDescent="0.35">
      <c r="A120">
        <v>2024</v>
      </c>
      <c r="B120">
        <v>4</v>
      </c>
      <c r="C120" t="s">
        <v>311</v>
      </c>
      <c r="D120" t="s">
        <v>84</v>
      </c>
      <c r="E120" t="s">
        <v>250</v>
      </c>
      <c r="F120" t="s">
        <v>429</v>
      </c>
      <c r="G120">
        <v>2065783.9</v>
      </c>
    </row>
    <row r="121" spans="1:7" x14ac:dyDescent="0.35">
      <c r="A121">
        <v>2024</v>
      </c>
      <c r="B121">
        <v>4</v>
      </c>
      <c r="C121" t="s">
        <v>311</v>
      </c>
      <c r="D121" t="s">
        <v>81</v>
      </c>
      <c r="E121" t="s">
        <v>251</v>
      </c>
      <c r="F121" t="s">
        <v>430</v>
      </c>
      <c r="G121">
        <v>12738031.25</v>
      </c>
    </row>
    <row r="122" spans="1:7" x14ac:dyDescent="0.35">
      <c r="A122">
        <v>2024</v>
      </c>
      <c r="B122">
        <v>4</v>
      </c>
      <c r="C122" t="s">
        <v>311</v>
      </c>
      <c r="D122" t="s">
        <v>81</v>
      </c>
      <c r="E122" t="s">
        <v>252</v>
      </c>
      <c r="F122" t="s">
        <v>431</v>
      </c>
      <c r="G122">
        <v>4119472.53</v>
      </c>
    </row>
    <row r="123" spans="1:7" x14ac:dyDescent="0.35">
      <c r="A123">
        <v>2024</v>
      </c>
      <c r="B123">
        <v>4</v>
      </c>
      <c r="C123" t="s">
        <v>311</v>
      </c>
      <c r="D123" t="s">
        <v>44</v>
      </c>
      <c r="E123" t="s">
        <v>253</v>
      </c>
      <c r="F123" t="s">
        <v>432</v>
      </c>
      <c r="G123">
        <v>73256</v>
      </c>
    </row>
    <row r="124" spans="1:7" x14ac:dyDescent="0.35">
      <c r="A124">
        <v>2024</v>
      </c>
      <c r="B124">
        <v>4</v>
      </c>
      <c r="C124" t="s">
        <v>311</v>
      </c>
      <c r="D124" t="s">
        <v>16</v>
      </c>
      <c r="E124" t="s">
        <v>254</v>
      </c>
      <c r="F124" t="s">
        <v>433</v>
      </c>
      <c r="G124">
        <v>27548</v>
      </c>
    </row>
    <row r="125" spans="1:7" x14ac:dyDescent="0.35">
      <c r="A125">
        <v>2024</v>
      </c>
      <c r="B125">
        <v>4</v>
      </c>
      <c r="C125" t="s">
        <v>311</v>
      </c>
      <c r="D125" t="s">
        <v>17</v>
      </c>
      <c r="E125" t="s">
        <v>255</v>
      </c>
      <c r="F125" t="s">
        <v>434</v>
      </c>
      <c r="G125">
        <v>1151</v>
      </c>
    </row>
    <row r="126" spans="1:7" x14ac:dyDescent="0.35">
      <c r="A126">
        <v>2024</v>
      </c>
      <c r="B126">
        <v>4</v>
      </c>
      <c r="C126" t="s">
        <v>311</v>
      </c>
      <c r="D126" t="s">
        <v>37</v>
      </c>
      <c r="E126" t="s">
        <v>256</v>
      </c>
      <c r="F126" t="s">
        <v>435</v>
      </c>
      <c r="G126">
        <v>-49763.6</v>
      </c>
    </row>
    <row r="127" spans="1:7" x14ac:dyDescent="0.35">
      <c r="A127">
        <v>2024</v>
      </c>
      <c r="B127">
        <v>4</v>
      </c>
      <c r="C127" t="s">
        <v>311</v>
      </c>
      <c r="D127" t="s">
        <v>37</v>
      </c>
      <c r="E127" t="s">
        <v>257</v>
      </c>
      <c r="F127" t="s">
        <v>436</v>
      </c>
      <c r="G127">
        <v>-6314200.9900000002</v>
      </c>
    </row>
    <row r="128" spans="1:7" x14ac:dyDescent="0.35">
      <c r="A128">
        <v>2024</v>
      </c>
      <c r="B128">
        <v>4</v>
      </c>
      <c r="C128" t="s">
        <v>311</v>
      </c>
      <c r="D128" t="s">
        <v>37</v>
      </c>
      <c r="E128" t="s">
        <v>258</v>
      </c>
      <c r="F128" t="s">
        <v>437</v>
      </c>
      <c r="G128">
        <v>-600</v>
      </c>
    </row>
    <row r="129" spans="1:7" x14ac:dyDescent="0.35">
      <c r="A129">
        <v>2024</v>
      </c>
      <c r="B129">
        <v>4</v>
      </c>
      <c r="C129" t="s">
        <v>311</v>
      </c>
      <c r="D129" t="s">
        <v>18</v>
      </c>
      <c r="E129" t="s">
        <v>259</v>
      </c>
      <c r="F129" t="s">
        <v>438</v>
      </c>
      <c r="G129">
        <v>13139</v>
      </c>
    </row>
    <row r="130" spans="1:7" x14ac:dyDescent="0.35">
      <c r="A130">
        <v>2024</v>
      </c>
      <c r="B130">
        <v>5</v>
      </c>
      <c r="C130" t="s">
        <v>439</v>
      </c>
      <c r="D130" t="s">
        <v>59</v>
      </c>
      <c r="E130" t="s">
        <v>133</v>
      </c>
      <c r="F130" t="s">
        <v>313</v>
      </c>
      <c r="G130">
        <v>2550</v>
      </c>
    </row>
    <row r="131" spans="1:7" x14ac:dyDescent="0.35">
      <c r="A131">
        <v>2024</v>
      </c>
      <c r="B131">
        <v>5</v>
      </c>
      <c r="C131" t="s">
        <v>439</v>
      </c>
      <c r="D131" t="s">
        <v>38</v>
      </c>
      <c r="E131" t="s">
        <v>122</v>
      </c>
      <c r="F131" t="s">
        <v>314</v>
      </c>
      <c r="G131">
        <v>5600</v>
      </c>
    </row>
    <row r="132" spans="1:7" x14ac:dyDescent="0.35">
      <c r="A132">
        <v>2024</v>
      </c>
      <c r="B132">
        <v>5</v>
      </c>
      <c r="C132" t="s">
        <v>439</v>
      </c>
      <c r="D132" t="s">
        <v>6</v>
      </c>
      <c r="E132" t="s">
        <v>135</v>
      </c>
      <c r="F132" t="s">
        <v>316</v>
      </c>
      <c r="G132">
        <v>16204</v>
      </c>
    </row>
    <row r="133" spans="1:7" x14ac:dyDescent="0.35">
      <c r="A133">
        <v>2024</v>
      </c>
      <c r="B133">
        <v>5</v>
      </c>
      <c r="C133" t="s">
        <v>439</v>
      </c>
      <c r="D133" t="s">
        <v>6</v>
      </c>
      <c r="E133" t="s">
        <v>136</v>
      </c>
      <c r="F133" t="s">
        <v>317</v>
      </c>
      <c r="G133">
        <v>64332</v>
      </c>
    </row>
    <row r="134" spans="1:7" x14ac:dyDescent="0.35">
      <c r="A134">
        <v>2024</v>
      </c>
      <c r="B134">
        <v>5</v>
      </c>
      <c r="C134" t="s">
        <v>439</v>
      </c>
      <c r="D134" t="s">
        <v>6</v>
      </c>
      <c r="E134" t="s">
        <v>137</v>
      </c>
      <c r="F134" t="s">
        <v>318</v>
      </c>
      <c r="G134">
        <v>55660</v>
      </c>
    </row>
    <row r="135" spans="1:7" x14ac:dyDescent="0.35">
      <c r="A135">
        <v>2024</v>
      </c>
      <c r="B135">
        <v>5</v>
      </c>
      <c r="C135" t="s">
        <v>439</v>
      </c>
      <c r="D135" t="s">
        <v>6</v>
      </c>
      <c r="E135" t="s">
        <v>138</v>
      </c>
      <c r="F135" t="s">
        <v>319</v>
      </c>
      <c r="G135">
        <v>1620</v>
      </c>
    </row>
    <row r="136" spans="1:7" x14ac:dyDescent="0.35">
      <c r="A136">
        <v>2024</v>
      </c>
      <c r="B136">
        <v>5</v>
      </c>
      <c r="C136" t="s">
        <v>439</v>
      </c>
      <c r="D136" t="s">
        <v>62</v>
      </c>
      <c r="E136" t="s">
        <v>260</v>
      </c>
      <c r="F136" t="s">
        <v>440</v>
      </c>
      <c r="G136">
        <v>62687</v>
      </c>
    </row>
    <row r="137" spans="1:7" x14ac:dyDescent="0.35">
      <c r="A137">
        <v>2024</v>
      </c>
      <c r="B137">
        <v>5</v>
      </c>
      <c r="C137" t="s">
        <v>439</v>
      </c>
      <c r="D137" t="s">
        <v>62</v>
      </c>
      <c r="E137" t="s">
        <v>139</v>
      </c>
      <c r="F137" t="s">
        <v>320</v>
      </c>
      <c r="G137">
        <v>296</v>
      </c>
    </row>
    <row r="138" spans="1:7" x14ac:dyDescent="0.35">
      <c r="A138">
        <v>2024</v>
      </c>
      <c r="B138">
        <v>5</v>
      </c>
      <c r="C138" t="s">
        <v>439</v>
      </c>
      <c r="D138" t="s">
        <v>62</v>
      </c>
      <c r="E138" t="s">
        <v>261</v>
      </c>
      <c r="F138" t="s">
        <v>441</v>
      </c>
      <c r="G138">
        <v>1495</v>
      </c>
    </row>
    <row r="139" spans="1:7" x14ac:dyDescent="0.35">
      <c r="A139">
        <v>2024</v>
      </c>
      <c r="B139">
        <v>5</v>
      </c>
      <c r="C139" t="s">
        <v>439</v>
      </c>
      <c r="D139" t="s">
        <v>19</v>
      </c>
      <c r="E139" t="s">
        <v>142</v>
      </c>
      <c r="F139" t="s">
        <v>323</v>
      </c>
      <c r="G139">
        <v>5978</v>
      </c>
    </row>
    <row r="140" spans="1:7" x14ac:dyDescent="0.35">
      <c r="A140">
        <v>2024</v>
      </c>
      <c r="B140">
        <v>5</v>
      </c>
      <c r="C140" t="s">
        <v>439</v>
      </c>
      <c r="D140" t="s">
        <v>31</v>
      </c>
      <c r="E140" t="s">
        <v>143</v>
      </c>
      <c r="F140" t="s">
        <v>324</v>
      </c>
      <c r="G140">
        <v>141741</v>
      </c>
    </row>
    <row r="141" spans="1:7" x14ac:dyDescent="0.35">
      <c r="A141">
        <v>2024</v>
      </c>
      <c r="B141">
        <v>5</v>
      </c>
      <c r="C141" t="s">
        <v>439</v>
      </c>
      <c r="D141" t="s">
        <v>26</v>
      </c>
      <c r="E141" t="s">
        <v>144</v>
      </c>
      <c r="F141" t="s">
        <v>325</v>
      </c>
      <c r="G141">
        <v>23439</v>
      </c>
    </row>
    <row r="142" spans="1:7" x14ac:dyDescent="0.35">
      <c r="A142">
        <v>2024</v>
      </c>
      <c r="B142">
        <v>5</v>
      </c>
      <c r="C142" t="s">
        <v>439</v>
      </c>
      <c r="D142" t="s">
        <v>7</v>
      </c>
      <c r="E142" t="s">
        <v>147</v>
      </c>
      <c r="F142" t="s">
        <v>328</v>
      </c>
      <c r="G142">
        <v>36810</v>
      </c>
    </row>
    <row r="143" spans="1:7" x14ac:dyDescent="0.35">
      <c r="A143">
        <v>2024</v>
      </c>
      <c r="B143">
        <v>5</v>
      </c>
      <c r="C143" t="s">
        <v>439</v>
      </c>
      <c r="D143" t="s">
        <v>67</v>
      </c>
      <c r="E143" t="s">
        <v>148</v>
      </c>
      <c r="F143" t="s">
        <v>329</v>
      </c>
      <c r="G143">
        <v>1828</v>
      </c>
    </row>
    <row r="144" spans="1:7" x14ac:dyDescent="0.35">
      <c r="A144">
        <v>2024</v>
      </c>
      <c r="B144">
        <v>5</v>
      </c>
      <c r="C144" t="s">
        <v>439</v>
      </c>
      <c r="D144" t="s">
        <v>67</v>
      </c>
      <c r="E144" t="s">
        <v>149</v>
      </c>
      <c r="F144" t="s">
        <v>330</v>
      </c>
      <c r="G144">
        <v>7584</v>
      </c>
    </row>
    <row r="145" spans="1:7" x14ac:dyDescent="0.35">
      <c r="A145">
        <v>2024</v>
      </c>
      <c r="B145">
        <v>5</v>
      </c>
      <c r="C145" t="s">
        <v>439</v>
      </c>
      <c r="D145" t="s">
        <v>67</v>
      </c>
      <c r="E145" t="s">
        <v>150</v>
      </c>
      <c r="F145" t="s">
        <v>331</v>
      </c>
      <c r="G145">
        <v>350145</v>
      </c>
    </row>
    <row r="146" spans="1:7" x14ac:dyDescent="0.35">
      <c r="A146">
        <v>2024</v>
      </c>
      <c r="B146">
        <v>5</v>
      </c>
      <c r="C146" t="s">
        <v>439</v>
      </c>
      <c r="D146" t="s">
        <v>67</v>
      </c>
      <c r="E146" t="s">
        <v>151</v>
      </c>
      <c r="F146" t="s">
        <v>332</v>
      </c>
      <c r="G146">
        <v>9802</v>
      </c>
    </row>
    <row r="147" spans="1:7" x14ac:dyDescent="0.35">
      <c r="A147">
        <v>2024</v>
      </c>
      <c r="B147">
        <v>5</v>
      </c>
      <c r="C147" t="s">
        <v>439</v>
      </c>
      <c r="D147" t="s">
        <v>67</v>
      </c>
      <c r="E147" t="s">
        <v>152</v>
      </c>
      <c r="F147" t="s">
        <v>333</v>
      </c>
      <c r="G147">
        <v>35336</v>
      </c>
    </row>
    <row r="148" spans="1:7" x14ac:dyDescent="0.35">
      <c r="A148">
        <v>2024</v>
      </c>
      <c r="B148">
        <v>5</v>
      </c>
      <c r="C148" t="s">
        <v>439</v>
      </c>
      <c r="D148" t="s">
        <v>93</v>
      </c>
      <c r="E148" t="s">
        <v>153</v>
      </c>
      <c r="F148" t="s">
        <v>334</v>
      </c>
      <c r="G148">
        <v>191329.79</v>
      </c>
    </row>
    <row r="149" spans="1:7" x14ac:dyDescent="0.35">
      <c r="A149">
        <v>2024</v>
      </c>
      <c r="B149">
        <v>5</v>
      </c>
      <c r="C149" t="s">
        <v>439</v>
      </c>
      <c r="D149" t="s">
        <v>93</v>
      </c>
      <c r="E149" t="s">
        <v>154</v>
      </c>
      <c r="F149" t="s">
        <v>335</v>
      </c>
      <c r="G149">
        <v>83799.55</v>
      </c>
    </row>
    <row r="150" spans="1:7" x14ac:dyDescent="0.35">
      <c r="A150">
        <v>2024</v>
      </c>
      <c r="B150">
        <v>5</v>
      </c>
      <c r="C150" t="s">
        <v>439</v>
      </c>
      <c r="D150" t="s">
        <v>89</v>
      </c>
      <c r="E150" t="s">
        <v>155</v>
      </c>
      <c r="F150" t="s">
        <v>336</v>
      </c>
      <c r="G150">
        <v>-80632.539999999994</v>
      </c>
    </row>
    <row r="151" spans="1:7" x14ac:dyDescent="0.35">
      <c r="A151">
        <v>2024</v>
      </c>
      <c r="B151">
        <v>5</v>
      </c>
      <c r="C151" t="s">
        <v>439</v>
      </c>
      <c r="D151" t="s">
        <v>89</v>
      </c>
      <c r="E151" t="s">
        <v>156</v>
      </c>
      <c r="F151" t="s">
        <v>337</v>
      </c>
      <c r="G151">
        <v>384951.89</v>
      </c>
    </row>
    <row r="152" spans="1:7" x14ac:dyDescent="0.35">
      <c r="A152">
        <v>2024</v>
      </c>
      <c r="B152">
        <v>5</v>
      </c>
      <c r="C152" t="s">
        <v>439</v>
      </c>
      <c r="D152" t="s">
        <v>61</v>
      </c>
      <c r="E152" t="s">
        <v>262</v>
      </c>
      <c r="F152" t="s">
        <v>442</v>
      </c>
      <c r="G152">
        <v>22000</v>
      </c>
    </row>
    <row r="153" spans="1:7" x14ac:dyDescent="0.35">
      <c r="A153">
        <v>2024</v>
      </c>
      <c r="B153">
        <v>5</v>
      </c>
      <c r="C153" t="s">
        <v>439</v>
      </c>
      <c r="D153" t="s">
        <v>20</v>
      </c>
      <c r="E153" t="s">
        <v>158</v>
      </c>
      <c r="F153" t="s">
        <v>339</v>
      </c>
      <c r="G153">
        <v>2059603</v>
      </c>
    </row>
    <row r="154" spans="1:7" x14ac:dyDescent="0.35">
      <c r="A154">
        <v>2024</v>
      </c>
      <c r="B154">
        <v>5</v>
      </c>
      <c r="C154" t="s">
        <v>439</v>
      </c>
      <c r="D154" t="s">
        <v>21</v>
      </c>
      <c r="E154" t="s">
        <v>159</v>
      </c>
      <c r="F154" t="s">
        <v>340</v>
      </c>
      <c r="G154">
        <v>259965</v>
      </c>
    </row>
    <row r="155" spans="1:7" x14ac:dyDescent="0.35">
      <c r="A155">
        <v>2024</v>
      </c>
      <c r="B155">
        <v>5</v>
      </c>
      <c r="C155" t="s">
        <v>439</v>
      </c>
      <c r="D155" t="s">
        <v>32</v>
      </c>
      <c r="E155" t="s">
        <v>162</v>
      </c>
      <c r="F155" t="s">
        <v>342</v>
      </c>
      <c r="G155">
        <v>5494</v>
      </c>
    </row>
    <row r="156" spans="1:7" x14ac:dyDescent="0.35">
      <c r="A156">
        <v>2024</v>
      </c>
      <c r="B156">
        <v>5</v>
      </c>
      <c r="C156" t="s">
        <v>439</v>
      </c>
      <c r="D156" t="s">
        <v>22</v>
      </c>
      <c r="E156" t="s">
        <v>165</v>
      </c>
      <c r="F156" t="s">
        <v>344</v>
      </c>
      <c r="G156">
        <v>412</v>
      </c>
    </row>
    <row r="157" spans="1:7" x14ac:dyDescent="0.35">
      <c r="A157">
        <v>2024</v>
      </c>
      <c r="B157">
        <v>5</v>
      </c>
      <c r="C157" t="s">
        <v>439</v>
      </c>
      <c r="D157" t="s">
        <v>27</v>
      </c>
      <c r="E157" t="s">
        <v>166</v>
      </c>
      <c r="F157" t="s">
        <v>345</v>
      </c>
      <c r="G157">
        <v>33130</v>
      </c>
    </row>
    <row r="158" spans="1:7" x14ac:dyDescent="0.35">
      <c r="A158">
        <v>2024</v>
      </c>
      <c r="B158">
        <v>5</v>
      </c>
      <c r="C158" t="s">
        <v>439</v>
      </c>
      <c r="D158" t="s">
        <v>167</v>
      </c>
      <c r="E158" t="s">
        <v>167</v>
      </c>
      <c r="F158" t="s">
        <v>346</v>
      </c>
      <c r="G158">
        <v>-6145996</v>
      </c>
    </row>
    <row r="159" spans="1:7" x14ac:dyDescent="0.35">
      <c r="A159">
        <v>2024</v>
      </c>
      <c r="B159">
        <v>5</v>
      </c>
      <c r="C159" t="s">
        <v>439</v>
      </c>
      <c r="D159" t="s">
        <v>9</v>
      </c>
      <c r="E159" t="s">
        <v>168</v>
      </c>
      <c r="F159" t="s">
        <v>347</v>
      </c>
      <c r="G159">
        <v>7212</v>
      </c>
    </row>
    <row r="160" spans="1:7" x14ac:dyDescent="0.35">
      <c r="A160">
        <v>2024</v>
      </c>
      <c r="B160">
        <v>5</v>
      </c>
      <c r="C160" t="s">
        <v>439</v>
      </c>
      <c r="D160" t="s">
        <v>9</v>
      </c>
      <c r="E160" t="s">
        <v>169</v>
      </c>
      <c r="F160" t="s">
        <v>348</v>
      </c>
      <c r="G160">
        <v>6830</v>
      </c>
    </row>
    <row r="161" spans="1:7" x14ac:dyDescent="0.35">
      <c r="A161">
        <v>2024</v>
      </c>
      <c r="B161">
        <v>5</v>
      </c>
      <c r="C161" t="s">
        <v>439</v>
      </c>
      <c r="D161" t="s">
        <v>72</v>
      </c>
      <c r="E161" t="s">
        <v>170</v>
      </c>
      <c r="F161" t="s">
        <v>349</v>
      </c>
      <c r="G161">
        <v>147711</v>
      </c>
    </row>
    <row r="162" spans="1:7" x14ac:dyDescent="0.35">
      <c r="A162">
        <v>2024</v>
      </c>
      <c r="B162">
        <v>5</v>
      </c>
      <c r="C162" t="s">
        <v>439</v>
      </c>
      <c r="D162" t="s">
        <v>39</v>
      </c>
      <c r="E162" t="s">
        <v>171</v>
      </c>
      <c r="F162" t="s">
        <v>350</v>
      </c>
      <c r="G162">
        <v>765</v>
      </c>
    </row>
    <row r="163" spans="1:7" x14ac:dyDescent="0.35">
      <c r="A163">
        <v>2024</v>
      </c>
      <c r="B163">
        <v>5</v>
      </c>
      <c r="C163" t="s">
        <v>439</v>
      </c>
      <c r="D163" t="s">
        <v>10</v>
      </c>
      <c r="E163" t="s">
        <v>172</v>
      </c>
      <c r="F163" t="s">
        <v>351</v>
      </c>
      <c r="G163">
        <v>22854</v>
      </c>
    </row>
    <row r="164" spans="1:7" x14ac:dyDescent="0.35">
      <c r="A164">
        <v>2024</v>
      </c>
      <c r="B164">
        <v>5</v>
      </c>
      <c r="C164" t="s">
        <v>439</v>
      </c>
      <c r="D164" t="s">
        <v>66</v>
      </c>
      <c r="E164" t="s">
        <v>173</v>
      </c>
      <c r="F164" t="s">
        <v>352</v>
      </c>
      <c r="G164">
        <v>433548</v>
      </c>
    </row>
    <row r="165" spans="1:7" x14ac:dyDescent="0.35">
      <c r="A165">
        <v>2024</v>
      </c>
      <c r="B165">
        <v>5</v>
      </c>
      <c r="C165" t="s">
        <v>439</v>
      </c>
      <c r="D165" t="s">
        <v>66</v>
      </c>
      <c r="E165" t="s">
        <v>174</v>
      </c>
      <c r="F165" t="s">
        <v>353</v>
      </c>
      <c r="G165">
        <v>21917</v>
      </c>
    </row>
    <row r="166" spans="1:7" x14ac:dyDescent="0.35">
      <c r="A166">
        <v>2024</v>
      </c>
      <c r="B166">
        <v>5</v>
      </c>
      <c r="C166" t="s">
        <v>439</v>
      </c>
      <c r="D166" t="s">
        <v>66</v>
      </c>
      <c r="E166" t="s">
        <v>175</v>
      </c>
      <c r="F166" t="s">
        <v>354</v>
      </c>
      <c r="G166">
        <v>875</v>
      </c>
    </row>
    <row r="167" spans="1:7" x14ac:dyDescent="0.35">
      <c r="A167">
        <v>2024</v>
      </c>
      <c r="B167">
        <v>5</v>
      </c>
      <c r="C167" t="s">
        <v>439</v>
      </c>
      <c r="D167" t="s">
        <v>66</v>
      </c>
      <c r="E167" t="s">
        <v>176</v>
      </c>
      <c r="F167" t="s">
        <v>355</v>
      </c>
      <c r="G167">
        <v>45315</v>
      </c>
    </row>
    <row r="168" spans="1:7" x14ac:dyDescent="0.35">
      <c r="A168">
        <v>2024</v>
      </c>
      <c r="B168">
        <v>5</v>
      </c>
      <c r="C168" t="s">
        <v>439</v>
      </c>
      <c r="D168" t="s">
        <v>66</v>
      </c>
      <c r="E168" t="s">
        <v>177</v>
      </c>
      <c r="F168" t="s">
        <v>356</v>
      </c>
      <c r="G168">
        <v>63282</v>
      </c>
    </row>
    <row r="169" spans="1:7" x14ac:dyDescent="0.35">
      <c r="A169">
        <v>2024</v>
      </c>
      <c r="B169">
        <v>5</v>
      </c>
      <c r="C169" t="s">
        <v>439</v>
      </c>
      <c r="D169" t="s">
        <v>66</v>
      </c>
      <c r="E169" t="s">
        <v>178</v>
      </c>
      <c r="F169" t="s">
        <v>357</v>
      </c>
      <c r="G169">
        <v>7163</v>
      </c>
    </row>
    <row r="170" spans="1:7" x14ac:dyDescent="0.35">
      <c r="A170">
        <v>2024</v>
      </c>
      <c r="B170">
        <v>5</v>
      </c>
      <c r="C170" t="s">
        <v>439</v>
      </c>
      <c r="D170" t="s">
        <v>11</v>
      </c>
      <c r="E170" t="s">
        <v>179</v>
      </c>
      <c r="F170" t="s">
        <v>180</v>
      </c>
      <c r="G170">
        <v>34226</v>
      </c>
    </row>
    <row r="171" spans="1:7" x14ac:dyDescent="0.35">
      <c r="A171">
        <v>2024</v>
      </c>
      <c r="B171">
        <v>5</v>
      </c>
      <c r="C171" t="s">
        <v>439</v>
      </c>
      <c r="D171" t="s">
        <v>74</v>
      </c>
      <c r="E171" t="s">
        <v>205</v>
      </c>
      <c r="F171" t="s">
        <v>384</v>
      </c>
      <c r="G171">
        <v>29053</v>
      </c>
    </row>
    <row r="172" spans="1:7" x14ac:dyDescent="0.35">
      <c r="A172">
        <v>2024</v>
      </c>
      <c r="B172">
        <v>5</v>
      </c>
      <c r="C172" t="s">
        <v>439</v>
      </c>
      <c r="D172" t="s">
        <v>74</v>
      </c>
      <c r="E172" t="s">
        <v>264</v>
      </c>
      <c r="F172" t="s">
        <v>444</v>
      </c>
      <c r="G172">
        <v>3314</v>
      </c>
    </row>
    <row r="173" spans="1:7" x14ac:dyDescent="0.35">
      <c r="A173">
        <v>2024</v>
      </c>
      <c r="B173">
        <v>5</v>
      </c>
      <c r="C173" t="s">
        <v>439</v>
      </c>
      <c r="D173" t="s">
        <v>74</v>
      </c>
      <c r="E173" t="s">
        <v>183</v>
      </c>
      <c r="F173" t="s">
        <v>360</v>
      </c>
      <c r="G173">
        <v>1635</v>
      </c>
    </row>
    <row r="174" spans="1:7" x14ac:dyDescent="0.35">
      <c r="A174">
        <v>2024</v>
      </c>
      <c r="B174">
        <v>5</v>
      </c>
      <c r="C174" t="s">
        <v>439</v>
      </c>
      <c r="D174" t="s">
        <v>74</v>
      </c>
      <c r="E174" t="s">
        <v>265</v>
      </c>
      <c r="F174" t="s">
        <v>445</v>
      </c>
      <c r="G174">
        <v>57</v>
      </c>
    </row>
    <row r="175" spans="1:7" x14ac:dyDescent="0.35">
      <c r="A175">
        <v>2024</v>
      </c>
      <c r="B175">
        <v>5</v>
      </c>
      <c r="C175" t="s">
        <v>439</v>
      </c>
      <c r="D175" t="s">
        <v>74</v>
      </c>
      <c r="E175" t="s">
        <v>298</v>
      </c>
      <c r="F175" t="s">
        <v>363</v>
      </c>
      <c r="G175">
        <v>645</v>
      </c>
    </row>
    <row r="176" spans="1:7" x14ac:dyDescent="0.35">
      <c r="A176">
        <v>2024</v>
      </c>
      <c r="B176">
        <v>5</v>
      </c>
      <c r="C176" t="s">
        <v>439</v>
      </c>
      <c r="D176" t="s">
        <v>74</v>
      </c>
      <c r="E176" t="s">
        <v>266</v>
      </c>
      <c r="F176" t="s">
        <v>446</v>
      </c>
      <c r="G176">
        <v>9450</v>
      </c>
    </row>
    <row r="177" spans="1:7" x14ac:dyDescent="0.35">
      <c r="A177">
        <v>2024</v>
      </c>
      <c r="B177">
        <v>5</v>
      </c>
      <c r="C177" t="s">
        <v>439</v>
      </c>
      <c r="D177" t="s">
        <v>74</v>
      </c>
      <c r="E177" t="s">
        <v>267</v>
      </c>
      <c r="F177" t="s">
        <v>447</v>
      </c>
      <c r="G177">
        <v>4931</v>
      </c>
    </row>
    <row r="178" spans="1:7" x14ac:dyDescent="0.35">
      <c r="A178">
        <v>2024</v>
      </c>
      <c r="B178">
        <v>5</v>
      </c>
      <c r="C178" t="s">
        <v>439</v>
      </c>
      <c r="D178" t="s">
        <v>74</v>
      </c>
      <c r="E178" t="s">
        <v>268</v>
      </c>
      <c r="F178" t="s">
        <v>448</v>
      </c>
      <c r="G178">
        <v>1021</v>
      </c>
    </row>
    <row r="179" spans="1:7" x14ac:dyDescent="0.35">
      <c r="A179">
        <v>2024</v>
      </c>
      <c r="B179">
        <v>5</v>
      </c>
      <c r="C179" t="s">
        <v>439</v>
      </c>
      <c r="D179" t="s">
        <v>74</v>
      </c>
      <c r="E179" t="s">
        <v>186</v>
      </c>
      <c r="F179" t="s">
        <v>364</v>
      </c>
      <c r="G179">
        <v>40326</v>
      </c>
    </row>
    <row r="180" spans="1:7" x14ac:dyDescent="0.35">
      <c r="A180">
        <v>2024</v>
      </c>
      <c r="B180">
        <v>5</v>
      </c>
      <c r="C180" t="s">
        <v>439</v>
      </c>
      <c r="D180" t="s">
        <v>74</v>
      </c>
      <c r="E180" t="s">
        <v>269</v>
      </c>
      <c r="F180" t="s">
        <v>449</v>
      </c>
      <c r="G180">
        <v>19309</v>
      </c>
    </row>
    <row r="181" spans="1:7" x14ac:dyDescent="0.35">
      <c r="A181">
        <v>2024</v>
      </c>
      <c r="B181">
        <v>5</v>
      </c>
      <c r="C181" t="s">
        <v>439</v>
      </c>
      <c r="D181" t="s">
        <v>74</v>
      </c>
      <c r="E181" t="s">
        <v>270</v>
      </c>
      <c r="F181" t="s">
        <v>450</v>
      </c>
      <c r="G181">
        <v>2557</v>
      </c>
    </row>
    <row r="182" spans="1:7" x14ac:dyDescent="0.35">
      <c r="A182">
        <v>2024</v>
      </c>
      <c r="B182">
        <v>5</v>
      </c>
      <c r="C182" t="s">
        <v>439</v>
      </c>
      <c r="D182" t="s">
        <v>74</v>
      </c>
      <c r="E182" t="s">
        <v>271</v>
      </c>
      <c r="F182" t="s">
        <v>451</v>
      </c>
      <c r="G182">
        <v>438</v>
      </c>
    </row>
    <row r="183" spans="1:7" x14ac:dyDescent="0.35">
      <c r="A183">
        <v>2024</v>
      </c>
      <c r="B183">
        <v>5</v>
      </c>
      <c r="C183" t="s">
        <v>439</v>
      </c>
      <c r="D183" t="s">
        <v>74</v>
      </c>
      <c r="E183" t="s">
        <v>187</v>
      </c>
      <c r="F183" t="s">
        <v>365</v>
      </c>
      <c r="G183">
        <v>189</v>
      </c>
    </row>
    <row r="184" spans="1:7" x14ac:dyDescent="0.35">
      <c r="A184">
        <v>2024</v>
      </c>
      <c r="B184">
        <v>5</v>
      </c>
      <c r="C184" t="s">
        <v>439</v>
      </c>
      <c r="D184" t="s">
        <v>85</v>
      </c>
      <c r="E184" t="s">
        <v>188</v>
      </c>
      <c r="F184" t="s">
        <v>366</v>
      </c>
      <c r="G184">
        <v>432010.65</v>
      </c>
    </row>
    <row r="185" spans="1:7" x14ac:dyDescent="0.35">
      <c r="A185">
        <v>2024</v>
      </c>
      <c r="B185">
        <v>5</v>
      </c>
      <c r="C185" t="s">
        <v>439</v>
      </c>
      <c r="D185" t="s">
        <v>106</v>
      </c>
      <c r="E185" t="s">
        <v>189</v>
      </c>
      <c r="F185" t="s">
        <v>367</v>
      </c>
      <c r="G185">
        <v>3206179</v>
      </c>
    </row>
    <row r="186" spans="1:7" x14ac:dyDescent="0.35">
      <c r="A186">
        <v>2024</v>
      </c>
      <c r="B186">
        <v>5</v>
      </c>
      <c r="C186" t="s">
        <v>439</v>
      </c>
      <c r="D186" t="s">
        <v>106</v>
      </c>
      <c r="E186" t="s">
        <v>190</v>
      </c>
      <c r="F186" t="s">
        <v>368</v>
      </c>
      <c r="G186">
        <v>122070</v>
      </c>
    </row>
    <row r="187" spans="1:7" x14ac:dyDescent="0.35">
      <c r="A187">
        <v>2024</v>
      </c>
      <c r="B187">
        <v>5</v>
      </c>
      <c r="C187" t="s">
        <v>439</v>
      </c>
      <c r="D187" t="s">
        <v>106</v>
      </c>
      <c r="E187" t="s">
        <v>191</v>
      </c>
      <c r="F187" t="s">
        <v>369</v>
      </c>
      <c r="G187">
        <v>787081</v>
      </c>
    </row>
    <row r="188" spans="1:7" x14ac:dyDescent="0.35">
      <c r="A188">
        <v>2024</v>
      </c>
      <c r="B188">
        <v>5</v>
      </c>
      <c r="C188" t="s">
        <v>439</v>
      </c>
      <c r="D188" t="s">
        <v>106</v>
      </c>
      <c r="E188" t="s">
        <v>192</v>
      </c>
      <c r="F188" t="s">
        <v>370</v>
      </c>
      <c r="G188">
        <v>285635</v>
      </c>
    </row>
    <row r="189" spans="1:7" x14ac:dyDescent="0.35">
      <c r="A189">
        <v>2024</v>
      </c>
      <c r="B189">
        <v>5</v>
      </c>
      <c r="C189" t="s">
        <v>439</v>
      </c>
      <c r="D189" t="s">
        <v>106</v>
      </c>
      <c r="E189" t="s">
        <v>193</v>
      </c>
      <c r="F189" t="s">
        <v>371</v>
      </c>
      <c r="G189">
        <v>28300</v>
      </c>
    </row>
    <row r="190" spans="1:7" x14ac:dyDescent="0.35">
      <c r="A190">
        <v>2024</v>
      </c>
      <c r="B190">
        <v>5</v>
      </c>
      <c r="C190" t="s">
        <v>439</v>
      </c>
      <c r="D190" t="s">
        <v>106</v>
      </c>
      <c r="E190" t="s">
        <v>194</v>
      </c>
      <c r="F190" t="s">
        <v>372</v>
      </c>
      <c r="G190">
        <v>800</v>
      </c>
    </row>
    <row r="191" spans="1:7" x14ac:dyDescent="0.35">
      <c r="A191">
        <v>2024</v>
      </c>
      <c r="B191">
        <v>5</v>
      </c>
      <c r="C191" t="s">
        <v>439</v>
      </c>
      <c r="D191" t="s">
        <v>106</v>
      </c>
      <c r="E191" t="s">
        <v>195</v>
      </c>
      <c r="F191" t="s">
        <v>373</v>
      </c>
      <c r="G191">
        <v>117890</v>
      </c>
    </row>
    <row r="192" spans="1:7" x14ac:dyDescent="0.35">
      <c r="A192">
        <v>2024</v>
      </c>
      <c r="B192">
        <v>5</v>
      </c>
      <c r="C192" t="s">
        <v>439</v>
      </c>
      <c r="D192" t="s">
        <v>75</v>
      </c>
      <c r="E192" t="s">
        <v>204</v>
      </c>
      <c r="F192" t="s">
        <v>383</v>
      </c>
      <c r="G192">
        <v>7348</v>
      </c>
    </row>
    <row r="193" spans="1:7" x14ac:dyDescent="0.35">
      <c r="A193">
        <v>2024</v>
      </c>
      <c r="B193">
        <v>5</v>
      </c>
      <c r="C193" t="s">
        <v>439</v>
      </c>
      <c r="D193" t="s">
        <v>23</v>
      </c>
      <c r="E193" t="s">
        <v>206</v>
      </c>
      <c r="F193" t="s">
        <v>385</v>
      </c>
      <c r="G193">
        <v>4279</v>
      </c>
    </row>
    <row r="194" spans="1:7" x14ac:dyDescent="0.35">
      <c r="A194">
        <v>2024</v>
      </c>
      <c r="B194">
        <v>5</v>
      </c>
      <c r="C194" t="s">
        <v>439</v>
      </c>
      <c r="D194" t="s">
        <v>24</v>
      </c>
      <c r="E194" t="s">
        <v>207</v>
      </c>
      <c r="F194" t="s">
        <v>386</v>
      </c>
      <c r="G194">
        <v>27787</v>
      </c>
    </row>
    <row r="195" spans="1:7" x14ac:dyDescent="0.35">
      <c r="A195">
        <v>2024</v>
      </c>
      <c r="B195">
        <v>5</v>
      </c>
      <c r="C195" t="s">
        <v>439</v>
      </c>
      <c r="D195" t="s">
        <v>519</v>
      </c>
      <c r="E195" t="s">
        <v>202</v>
      </c>
      <c r="F195" t="s">
        <v>380</v>
      </c>
      <c r="G195">
        <v>2600</v>
      </c>
    </row>
    <row r="196" spans="1:7" x14ac:dyDescent="0.35">
      <c r="A196">
        <v>2024</v>
      </c>
      <c r="B196">
        <v>5</v>
      </c>
      <c r="C196" t="s">
        <v>439</v>
      </c>
      <c r="D196" t="s">
        <v>519</v>
      </c>
      <c r="E196" t="s">
        <v>203</v>
      </c>
      <c r="F196" t="s">
        <v>381</v>
      </c>
      <c r="G196">
        <v>4194.37</v>
      </c>
    </row>
    <row r="197" spans="1:7" x14ac:dyDescent="0.35">
      <c r="A197">
        <v>2024</v>
      </c>
      <c r="B197">
        <v>5</v>
      </c>
      <c r="C197" t="s">
        <v>439</v>
      </c>
      <c r="D197" t="s">
        <v>519</v>
      </c>
      <c r="E197" t="s">
        <v>196</v>
      </c>
      <c r="F197" t="s">
        <v>382</v>
      </c>
      <c r="G197">
        <v>1.2</v>
      </c>
    </row>
    <row r="198" spans="1:7" x14ac:dyDescent="0.35">
      <c r="A198">
        <v>2024</v>
      </c>
      <c r="B198">
        <v>5</v>
      </c>
      <c r="C198" t="s">
        <v>439</v>
      </c>
      <c r="D198" t="s">
        <v>520</v>
      </c>
      <c r="E198" t="s">
        <v>208</v>
      </c>
      <c r="F198" t="s">
        <v>387</v>
      </c>
      <c r="G198">
        <v>129</v>
      </c>
    </row>
    <row r="199" spans="1:7" x14ac:dyDescent="0.35">
      <c r="A199">
        <v>2024</v>
      </c>
      <c r="B199">
        <v>5</v>
      </c>
      <c r="C199" t="s">
        <v>439</v>
      </c>
      <c r="D199" t="s">
        <v>520</v>
      </c>
      <c r="E199" t="s">
        <v>134</v>
      </c>
      <c r="F199" t="s">
        <v>315</v>
      </c>
      <c r="G199">
        <v>17105</v>
      </c>
    </row>
    <row r="200" spans="1:7" x14ac:dyDescent="0.35">
      <c r="A200">
        <v>2024</v>
      </c>
      <c r="B200">
        <v>5</v>
      </c>
      <c r="C200" t="s">
        <v>439</v>
      </c>
      <c r="D200" t="s">
        <v>520</v>
      </c>
      <c r="E200" t="s">
        <v>196</v>
      </c>
      <c r="F200" t="s">
        <v>374</v>
      </c>
      <c r="G200">
        <v>6</v>
      </c>
    </row>
    <row r="201" spans="1:7" x14ac:dyDescent="0.35">
      <c r="A201">
        <v>2024</v>
      </c>
      <c r="B201">
        <v>5</v>
      </c>
      <c r="C201" t="s">
        <v>439</v>
      </c>
      <c r="D201" t="s">
        <v>520</v>
      </c>
      <c r="E201" t="s">
        <v>197</v>
      </c>
      <c r="F201" t="s">
        <v>375</v>
      </c>
      <c r="G201">
        <v>44685</v>
      </c>
    </row>
    <row r="202" spans="1:7" x14ac:dyDescent="0.35">
      <c r="A202">
        <v>2024</v>
      </c>
      <c r="B202">
        <v>5</v>
      </c>
      <c r="C202" t="s">
        <v>439</v>
      </c>
      <c r="D202" t="s">
        <v>520</v>
      </c>
      <c r="E202" t="s">
        <v>198</v>
      </c>
      <c r="F202" t="s">
        <v>376</v>
      </c>
      <c r="G202">
        <v>1764</v>
      </c>
    </row>
    <row r="203" spans="1:7" x14ac:dyDescent="0.35">
      <c r="A203">
        <v>2024</v>
      </c>
      <c r="B203">
        <v>5</v>
      </c>
      <c r="C203" t="s">
        <v>439</v>
      </c>
      <c r="D203" t="s">
        <v>520</v>
      </c>
      <c r="E203" t="s">
        <v>199</v>
      </c>
      <c r="F203" t="s">
        <v>377</v>
      </c>
      <c r="G203">
        <v>56</v>
      </c>
    </row>
    <row r="204" spans="1:7" x14ac:dyDescent="0.35">
      <c r="A204">
        <v>2024</v>
      </c>
      <c r="B204">
        <v>5</v>
      </c>
      <c r="C204" t="s">
        <v>439</v>
      </c>
      <c r="D204" t="s">
        <v>520</v>
      </c>
      <c r="E204" t="s">
        <v>200</v>
      </c>
      <c r="F204" t="s">
        <v>378</v>
      </c>
      <c r="G204">
        <v>2951</v>
      </c>
    </row>
    <row r="205" spans="1:7" x14ac:dyDescent="0.35">
      <c r="A205">
        <v>2024</v>
      </c>
      <c r="B205">
        <v>5</v>
      </c>
      <c r="C205" t="s">
        <v>439</v>
      </c>
      <c r="D205" t="s">
        <v>520</v>
      </c>
      <c r="E205" t="s">
        <v>201</v>
      </c>
      <c r="F205" t="s">
        <v>379</v>
      </c>
      <c r="G205">
        <v>5944</v>
      </c>
    </row>
    <row r="206" spans="1:7" x14ac:dyDescent="0.35">
      <c r="A206">
        <v>2024</v>
      </c>
      <c r="B206">
        <v>5</v>
      </c>
      <c r="C206" t="s">
        <v>439</v>
      </c>
      <c r="D206" t="s">
        <v>33</v>
      </c>
      <c r="E206" t="s">
        <v>209</v>
      </c>
      <c r="F206" t="s">
        <v>388</v>
      </c>
      <c r="G206">
        <v>96715</v>
      </c>
    </row>
    <row r="207" spans="1:7" x14ac:dyDescent="0.35">
      <c r="A207">
        <v>2024</v>
      </c>
      <c r="B207">
        <v>5</v>
      </c>
      <c r="C207" t="s">
        <v>439</v>
      </c>
      <c r="D207" t="s">
        <v>12</v>
      </c>
      <c r="E207" t="s">
        <v>210</v>
      </c>
      <c r="F207" t="s">
        <v>389</v>
      </c>
      <c r="G207">
        <v>1245</v>
      </c>
    </row>
    <row r="208" spans="1:7" x14ac:dyDescent="0.35">
      <c r="A208">
        <v>2024</v>
      </c>
      <c r="B208">
        <v>5</v>
      </c>
      <c r="C208" t="s">
        <v>439</v>
      </c>
      <c r="D208" t="s">
        <v>12</v>
      </c>
      <c r="E208" t="s">
        <v>211</v>
      </c>
      <c r="F208" t="s">
        <v>390</v>
      </c>
      <c r="G208">
        <v>3862</v>
      </c>
    </row>
    <row r="209" spans="1:7" x14ac:dyDescent="0.35">
      <c r="A209">
        <v>2024</v>
      </c>
      <c r="B209">
        <v>5</v>
      </c>
      <c r="C209" t="s">
        <v>439</v>
      </c>
      <c r="D209" t="s">
        <v>12</v>
      </c>
      <c r="E209" t="s">
        <v>272</v>
      </c>
      <c r="F209" t="s">
        <v>452</v>
      </c>
      <c r="G209">
        <v>1725</v>
      </c>
    </row>
    <row r="210" spans="1:7" x14ac:dyDescent="0.35">
      <c r="A210">
        <v>2024</v>
      </c>
      <c r="B210">
        <v>5</v>
      </c>
      <c r="C210" t="s">
        <v>439</v>
      </c>
      <c r="D210" t="s">
        <v>12</v>
      </c>
      <c r="E210" t="s">
        <v>212</v>
      </c>
      <c r="F210" t="s">
        <v>391</v>
      </c>
      <c r="G210">
        <v>6282</v>
      </c>
    </row>
    <row r="211" spans="1:7" x14ac:dyDescent="0.35">
      <c r="A211">
        <v>2024</v>
      </c>
      <c r="B211">
        <v>5</v>
      </c>
      <c r="C211" t="s">
        <v>439</v>
      </c>
      <c r="D211" t="s">
        <v>12</v>
      </c>
      <c r="E211" t="s">
        <v>273</v>
      </c>
      <c r="F211" t="s">
        <v>453</v>
      </c>
      <c r="G211">
        <v>3102</v>
      </c>
    </row>
    <row r="212" spans="1:7" x14ac:dyDescent="0.35">
      <c r="A212">
        <v>2024</v>
      </c>
      <c r="B212">
        <v>5</v>
      </c>
      <c r="C212" t="s">
        <v>439</v>
      </c>
      <c r="D212" t="s">
        <v>12</v>
      </c>
      <c r="E212" t="s">
        <v>213</v>
      </c>
      <c r="F212" t="s">
        <v>392</v>
      </c>
      <c r="G212">
        <v>8914</v>
      </c>
    </row>
    <row r="213" spans="1:7" x14ac:dyDescent="0.35">
      <c r="A213">
        <v>2024</v>
      </c>
      <c r="B213">
        <v>5</v>
      </c>
      <c r="C213" t="s">
        <v>439</v>
      </c>
      <c r="D213" t="s">
        <v>12</v>
      </c>
      <c r="E213" t="s">
        <v>299</v>
      </c>
      <c r="F213" t="s">
        <v>393</v>
      </c>
      <c r="G213">
        <v>11860</v>
      </c>
    </row>
    <row r="214" spans="1:7" x14ac:dyDescent="0.35">
      <c r="A214">
        <v>2024</v>
      </c>
      <c r="B214">
        <v>5</v>
      </c>
      <c r="C214" t="s">
        <v>439</v>
      </c>
      <c r="D214" t="s">
        <v>12</v>
      </c>
      <c r="E214" t="s">
        <v>214</v>
      </c>
      <c r="F214" t="s">
        <v>394</v>
      </c>
      <c r="G214">
        <v>3882</v>
      </c>
    </row>
    <row r="215" spans="1:7" x14ac:dyDescent="0.35">
      <c r="A215">
        <v>2024</v>
      </c>
      <c r="B215">
        <v>5</v>
      </c>
      <c r="C215" t="s">
        <v>439</v>
      </c>
      <c r="D215" t="s">
        <v>12</v>
      </c>
      <c r="E215" t="s">
        <v>215</v>
      </c>
      <c r="F215" t="s">
        <v>395</v>
      </c>
      <c r="G215">
        <v>3528</v>
      </c>
    </row>
    <row r="216" spans="1:7" x14ac:dyDescent="0.35">
      <c r="A216">
        <v>2024</v>
      </c>
      <c r="B216">
        <v>5</v>
      </c>
      <c r="C216" t="s">
        <v>439</v>
      </c>
      <c r="D216" t="s">
        <v>12</v>
      </c>
      <c r="E216" t="s">
        <v>216</v>
      </c>
      <c r="F216" t="s">
        <v>396</v>
      </c>
      <c r="G216">
        <v>9194</v>
      </c>
    </row>
    <row r="217" spans="1:7" x14ac:dyDescent="0.35">
      <c r="A217">
        <v>2024</v>
      </c>
      <c r="B217">
        <v>5</v>
      </c>
      <c r="C217" t="s">
        <v>439</v>
      </c>
      <c r="D217" t="s">
        <v>12</v>
      </c>
      <c r="E217" t="s">
        <v>217</v>
      </c>
      <c r="F217" t="s">
        <v>397</v>
      </c>
      <c r="G217">
        <v>3755</v>
      </c>
    </row>
    <row r="218" spans="1:7" x14ac:dyDescent="0.35">
      <c r="A218">
        <v>2024</v>
      </c>
      <c r="B218">
        <v>5</v>
      </c>
      <c r="C218" t="s">
        <v>439</v>
      </c>
      <c r="D218" t="s">
        <v>12</v>
      </c>
      <c r="E218" t="s">
        <v>218</v>
      </c>
      <c r="F218" t="s">
        <v>398</v>
      </c>
      <c r="G218">
        <v>6233</v>
      </c>
    </row>
    <row r="219" spans="1:7" x14ac:dyDescent="0.35">
      <c r="A219">
        <v>2024</v>
      </c>
      <c r="B219">
        <v>5</v>
      </c>
      <c r="C219" t="s">
        <v>439</v>
      </c>
      <c r="D219" t="s">
        <v>12</v>
      </c>
      <c r="E219" t="s">
        <v>219</v>
      </c>
      <c r="F219" t="s">
        <v>399</v>
      </c>
      <c r="G219">
        <v>5294</v>
      </c>
    </row>
    <row r="220" spans="1:7" x14ac:dyDescent="0.35">
      <c r="A220">
        <v>2024</v>
      </c>
      <c r="B220">
        <v>5</v>
      </c>
      <c r="C220" t="s">
        <v>439</v>
      </c>
      <c r="D220" t="s">
        <v>12</v>
      </c>
      <c r="E220" t="s">
        <v>220</v>
      </c>
      <c r="F220" t="s">
        <v>400</v>
      </c>
      <c r="G220">
        <v>10169</v>
      </c>
    </row>
    <row r="221" spans="1:7" x14ac:dyDescent="0.35">
      <c r="A221">
        <v>2024</v>
      </c>
      <c r="B221">
        <v>5</v>
      </c>
      <c r="C221" t="s">
        <v>439</v>
      </c>
      <c r="D221" t="s">
        <v>12</v>
      </c>
      <c r="E221" t="s">
        <v>221</v>
      </c>
      <c r="F221" t="s">
        <v>401</v>
      </c>
      <c r="G221">
        <v>3541</v>
      </c>
    </row>
    <row r="222" spans="1:7" x14ac:dyDescent="0.35">
      <c r="A222">
        <v>2024</v>
      </c>
      <c r="B222">
        <v>5</v>
      </c>
      <c r="C222" t="s">
        <v>439</v>
      </c>
      <c r="D222" t="s">
        <v>12</v>
      </c>
      <c r="E222" t="s">
        <v>222</v>
      </c>
      <c r="F222" t="s">
        <v>402</v>
      </c>
      <c r="G222">
        <v>3676</v>
      </c>
    </row>
    <row r="223" spans="1:7" x14ac:dyDescent="0.35">
      <c r="A223">
        <v>2024</v>
      </c>
      <c r="B223">
        <v>5</v>
      </c>
      <c r="C223" t="s">
        <v>439</v>
      </c>
      <c r="D223" t="s">
        <v>28</v>
      </c>
      <c r="E223" t="s">
        <v>223</v>
      </c>
      <c r="F223" t="s">
        <v>403</v>
      </c>
      <c r="G223">
        <v>19596</v>
      </c>
    </row>
    <row r="224" spans="1:7" x14ac:dyDescent="0.35">
      <c r="A224">
        <v>2024</v>
      </c>
      <c r="B224">
        <v>5</v>
      </c>
      <c r="C224" t="s">
        <v>439</v>
      </c>
      <c r="D224" t="s">
        <v>28</v>
      </c>
      <c r="E224" t="s">
        <v>224</v>
      </c>
      <c r="F224" t="s">
        <v>404</v>
      </c>
      <c r="G224">
        <v>8010</v>
      </c>
    </row>
    <row r="225" spans="1:7" x14ac:dyDescent="0.35">
      <c r="A225">
        <v>2024</v>
      </c>
      <c r="B225">
        <v>5</v>
      </c>
      <c r="C225" t="s">
        <v>439</v>
      </c>
      <c r="D225" t="s">
        <v>64</v>
      </c>
      <c r="E225" t="s">
        <v>225</v>
      </c>
      <c r="F225" t="s">
        <v>405</v>
      </c>
      <c r="G225">
        <v>13026</v>
      </c>
    </row>
    <row r="226" spans="1:7" x14ac:dyDescent="0.35">
      <c r="A226">
        <v>2024</v>
      </c>
      <c r="B226">
        <v>5</v>
      </c>
      <c r="C226" t="s">
        <v>439</v>
      </c>
      <c r="D226" t="s">
        <v>29</v>
      </c>
      <c r="E226" t="s">
        <v>226</v>
      </c>
      <c r="F226" t="s">
        <v>406</v>
      </c>
      <c r="G226">
        <v>1606</v>
      </c>
    </row>
    <row r="227" spans="1:7" x14ac:dyDescent="0.35">
      <c r="A227">
        <v>2024</v>
      </c>
      <c r="B227">
        <v>5</v>
      </c>
      <c r="C227" t="s">
        <v>439</v>
      </c>
      <c r="D227" t="s">
        <v>102</v>
      </c>
      <c r="E227" t="s">
        <v>227</v>
      </c>
      <c r="F227" t="s">
        <v>407</v>
      </c>
      <c r="G227">
        <v>323388</v>
      </c>
    </row>
    <row r="228" spans="1:7" x14ac:dyDescent="0.35">
      <c r="A228">
        <v>2024</v>
      </c>
      <c r="B228">
        <v>5</v>
      </c>
      <c r="C228" t="s">
        <v>439</v>
      </c>
      <c r="D228" t="s">
        <v>25</v>
      </c>
      <c r="E228" t="s">
        <v>228</v>
      </c>
      <c r="F228" t="s">
        <v>408</v>
      </c>
      <c r="G228">
        <v>891</v>
      </c>
    </row>
    <row r="229" spans="1:7" x14ac:dyDescent="0.35">
      <c r="A229">
        <v>2024</v>
      </c>
      <c r="B229">
        <v>5</v>
      </c>
      <c r="C229" t="s">
        <v>439</v>
      </c>
      <c r="D229" t="s">
        <v>25</v>
      </c>
      <c r="E229" t="s">
        <v>274</v>
      </c>
      <c r="F229" t="s">
        <v>454</v>
      </c>
      <c r="G229">
        <v>60960</v>
      </c>
    </row>
    <row r="230" spans="1:7" x14ac:dyDescent="0.35">
      <c r="A230">
        <v>2024</v>
      </c>
      <c r="B230">
        <v>5</v>
      </c>
      <c r="C230" t="s">
        <v>439</v>
      </c>
      <c r="D230" t="s">
        <v>229</v>
      </c>
      <c r="E230" t="s">
        <v>230</v>
      </c>
      <c r="F230" t="s">
        <v>409</v>
      </c>
      <c r="G230">
        <v>-235998</v>
      </c>
    </row>
    <row r="231" spans="1:7" x14ac:dyDescent="0.35">
      <c r="A231">
        <v>2024</v>
      </c>
      <c r="B231">
        <v>5</v>
      </c>
      <c r="C231" t="s">
        <v>439</v>
      </c>
      <c r="D231" t="s">
        <v>13</v>
      </c>
      <c r="E231" t="s">
        <v>232</v>
      </c>
      <c r="F231" t="s">
        <v>411</v>
      </c>
      <c r="G231">
        <v>685</v>
      </c>
    </row>
    <row r="232" spans="1:7" x14ac:dyDescent="0.35">
      <c r="A232">
        <v>2024</v>
      </c>
      <c r="B232">
        <v>5</v>
      </c>
      <c r="C232" t="s">
        <v>439</v>
      </c>
      <c r="D232" t="s">
        <v>94</v>
      </c>
      <c r="E232" t="s">
        <v>233</v>
      </c>
      <c r="F232" t="s">
        <v>412</v>
      </c>
      <c r="G232">
        <v>30300</v>
      </c>
    </row>
    <row r="233" spans="1:7" x14ac:dyDescent="0.35">
      <c r="A233">
        <v>2024</v>
      </c>
      <c r="B233">
        <v>5</v>
      </c>
      <c r="C233" t="s">
        <v>439</v>
      </c>
      <c r="D233" t="s">
        <v>36</v>
      </c>
      <c r="E233" t="s">
        <v>275</v>
      </c>
      <c r="F233" t="s">
        <v>455</v>
      </c>
      <c r="G233">
        <v>9181</v>
      </c>
    </row>
    <row r="234" spans="1:7" x14ac:dyDescent="0.35">
      <c r="A234">
        <v>2024</v>
      </c>
      <c r="B234">
        <v>5</v>
      </c>
      <c r="C234" t="s">
        <v>439</v>
      </c>
      <c r="D234" t="s">
        <v>43</v>
      </c>
      <c r="E234" t="s">
        <v>234</v>
      </c>
      <c r="F234" t="s">
        <v>413</v>
      </c>
      <c r="G234">
        <v>90000</v>
      </c>
    </row>
    <row r="235" spans="1:7" x14ac:dyDescent="0.35">
      <c r="A235">
        <v>2024</v>
      </c>
      <c r="B235">
        <v>5</v>
      </c>
      <c r="C235" t="s">
        <v>439</v>
      </c>
      <c r="D235" t="s">
        <v>40</v>
      </c>
      <c r="E235" t="s">
        <v>235</v>
      </c>
      <c r="F235" t="s">
        <v>414</v>
      </c>
      <c r="G235">
        <v>82585</v>
      </c>
    </row>
    <row r="236" spans="1:7" x14ac:dyDescent="0.35">
      <c r="A236">
        <v>2024</v>
      </c>
      <c r="B236">
        <v>5</v>
      </c>
      <c r="C236" t="s">
        <v>439</v>
      </c>
      <c r="D236" t="s">
        <v>45</v>
      </c>
      <c r="E236" t="s">
        <v>276</v>
      </c>
      <c r="F236" t="s">
        <v>456</v>
      </c>
      <c r="G236">
        <v>58436</v>
      </c>
    </row>
    <row r="237" spans="1:7" x14ac:dyDescent="0.35">
      <c r="A237">
        <v>2024</v>
      </c>
      <c r="B237">
        <v>5</v>
      </c>
      <c r="C237" t="s">
        <v>439</v>
      </c>
      <c r="D237" t="s">
        <v>76</v>
      </c>
      <c r="E237" t="s">
        <v>236</v>
      </c>
      <c r="F237" t="s">
        <v>415</v>
      </c>
      <c r="G237">
        <v>-6145996</v>
      </c>
    </row>
    <row r="238" spans="1:7" x14ac:dyDescent="0.35">
      <c r="A238">
        <v>2024</v>
      </c>
      <c r="B238">
        <v>5</v>
      </c>
      <c r="C238" t="s">
        <v>439</v>
      </c>
      <c r="D238" t="s">
        <v>76</v>
      </c>
      <c r="E238" t="s">
        <v>237</v>
      </c>
      <c r="F238" t="s">
        <v>416</v>
      </c>
      <c r="G238">
        <v>323387.90000000002</v>
      </c>
    </row>
    <row r="239" spans="1:7" x14ac:dyDescent="0.35">
      <c r="A239">
        <v>2024</v>
      </c>
      <c r="B239">
        <v>5</v>
      </c>
      <c r="C239" t="s">
        <v>439</v>
      </c>
      <c r="D239" t="s">
        <v>76</v>
      </c>
      <c r="E239" t="s">
        <v>238</v>
      </c>
      <c r="F239" t="s">
        <v>417</v>
      </c>
      <c r="G239">
        <v>341573.82</v>
      </c>
    </row>
    <row r="240" spans="1:7" x14ac:dyDescent="0.35">
      <c r="A240">
        <v>2024</v>
      </c>
      <c r="B240">
        <v>5</v>
      </c>
      <c r="C240" t="s">
        <v>439</v>
      </c>
      <c r="D240" t="s">
        <v>76</v>
      </c>
      <c r="E240" t="s">
        <v>239</v>
      </c>
      <c r="F240" t="s">
        <v>418</v>
      </c>
      <c r="G240">
        <v>7716920.9400000004</v>
      </c>
    </row>
    <row r="241" spans="1:7" x14ac:dyDescent="0.35">
      <c r="A241">
        <v>2024</v>
      </c>
      <c r="B241">
        <v>5</v>
      </c>
      <c r="C241" t="s">
        <v>439</v>
      </c>
      <c r="D241" t="s">
        <v>35</v>
      </c>
      <c r="E241" t="s">
        <v>240</v>
      </c>
      <c r="F241" t="s">
        <v>419</v>
      </c>
      <c r="G241">
        <v>235301</v>
      </c>
    </row>
    <row r="242" spans="1:7" x14ac:dyDescent="0.35">
      <c r="A242">
        <v>2024</v>
      </c>
      <c r="B242">
        <v>5</v>
      </c>
      <c r="C242" t="s">
        <v>439</v>
      </c>
      <c r="D242" t="s">
        <v>103</v>
      </c>
      <c r="E242" t="s">
        <v>242</v>
      </c>
      <c r="F242" t="s">
        <v>421</v>
      </c>
      <c r="G242">
        <v>341574</v>
      </c>
    </row>
    <row r="243" spans="1:7" x14ac:dyDescent="0.35">
      <c r="A243">
        <v>2024</v>
      </c>
      <c r="B243">
        <v>5</v>
      </c>
      <c r="C243" t="s">
        <v>439</v>
      </c>
      <c r="D243" t="s">
        <v>104</v>
      </c>
      <c r="E243" t="s">
        <v>243</v>
      </c>
      <c r="F243" t="s">
        <v>422</v>
      </c>
      <c r="G243">
        <v>7619435</v>
      </c>
    </row>
    <row r="244" spans="1:7" x14ac:dyDescent="0.35">
      <c r="A244">
        <v>2024</v>
      </c>
      <c r="B244">
        <v>5</v>
      </c>
      <c r="C244" t="s">
        <v>439</v>
      </c>
      <c r="D244" t="s">
        <v>244</v>
      </c>
      <c r="E244" t="s">
        <v>245</v>
      </c>
      <c r="F244" t="s">
        <v>423</v>
      </c>
      <c r="G244">
        <v>-3101381</v>
      </c>
    </row>
    <row r="245" spans="1:7" x14ac:dyDescent="0.35">
      <c r="A245">
        <v>2024</v>
      </c>
      <c r="B245">
        <v>5</v>
      </c>
      <c r="C245" t="s">
        <v>439</v>
      </c>
      <c r="D245" t="s">
        <v>14</v>
      </c>
      <c r="E245" t="s">
        <v>131</v>
      </c>
      <c r="F245" t="s">
        <v>425</v>
      </c>
      <c r="G245">
        <v>121196</v>
      </c>
    </row>
    <row r="246" spans="1:7" x14ac:dyDescent="0.35">
      <c r="A246">
        <v>2024</v>
      </c>
      <c r="B246">
        <v>5</v>
      </c>
      <c r="C246" t="s">
        <v>439</v>
      </c>
      <c r="D246" t="s">
        <v>30</v>
      </c>
      <c r="E246" t="s">
        <v>247</v>
      </c>
      <c r="F246" t="s">
        <v>426</v>
      </c>
      <c r="G246">
        <v>12585</v>
      </c>
    </row>
    <row r="247" spans="1:7" x14ac:dyDescent="0.35">
      <c r="A247">
        <v>2024</v>
      </c>
      <c r="B247">
        <v>5</v>
      </c>
      <c r="C247" t="s">
        <v>439</v>
      </c>
      <c r="D247" t="s">
        <v>15</v>
      </c>
      <c r="E247" t="s">
        <v>248</v>
      </c>
      <c r="F247" t="s">
        <v>427</v>
      </c>
      <c r="G247">
        <v>32666</v>
      </c>
    </row>
    <row r="248" spans="1:7" x14ac:dyDescent="0.35">
      <c r="A248">
        <v>2024</v>
      </c>
      <c r="B248">
        <v>5</v>
      </c>
      <c r="C248" t="s">
        <v>439</v>
      </c>
      <c r="D248" t="s">
        <v>90</v>
      </c>
      <c r="E248" t="s">
        <v>277</v>
      </c>
      <c r="F248" t="s">
        <v>457</v>
      </c>
      <c r="G248">
        <v>18181.82</v>
      </c>
    </row>
    <row r="249" spans="1:7" x14ac:dyDescent="0.35">
      <c r="A249">
        <v>2024</v>
      </c>
      <c r="B249">
        <v>5</v>
      </c>
      <c r="C249" t="s">
        <v>439</v>
      </c>
      <c r="D249" t="s">
        <v>90</v>
      </c>
      <c r="E249" t="s">
        <v>249</v>
      </c>
      <c r="F249" t="s">
        <v>428</v>
      </c>
      <c r="G249">
        <v>1083</v>
      </c>
    </row>
    <row r="250" spans="1:7" x14ac:dyDescent="0.35">
      <c r="A250">
        <v>2024</v>
      </c>
      <c r="B250">
        <v>5</v>
      </c>
      <c r="C250" t="s">
        <v>439</v>
      </c>
      <c r="D250" t="s">
        <v>84</v>
      </c>
      <c r="E250" t="s">
        <v>250</v>
      </c>
      <c r="F250" t="s">
        <v>429</v>
      </c>
      <c r="G250">
        <v>1939739.12</v>
      </c>
    </row>
    <row r="251" spans="1:7" x14ac:dyDescent="0.35">
      <c r="A251">
        <v>2024</v>
      </c>
      <c r="B251">
        <v>5</v>
      </c>
      <c r="C251" t="s">
        <v>439</v>
      </c>
      <c r="D251" t="s">
        <v>81</v>
      </c>
      <c r="E251" t="s">
        <v>251</v>
      </c>
      <c r="F251" t="s">
        <v>430</v>
      </c>
      <c r="G251">
        <v>40533958.479999997</v>
      </c>
    </row>
    <row r="252" spans="1:7" x14ac:dyDescent="0.35">
      <c r="A252">
        <v>2024</v>
      </c>
      <c r="B252">
        <v>5</v>
      </c>
      <c r="C252" t="s">
        <v>439</v>
      </c>
      <c r="D252" t="s">
        <v>81</v>
      </c>
      <c r="E252" t="s">
        <v>252</v>
      </c>
      <c r="F252" t="s">
        <v>431</v>
      </c>
      <c r="G252">
        <v>1731450</v>
      </c>
    </row>
    <row r="253" spans="1:7" x14ac:dyDescent="0.35">
      <c r="A253">
        <v>2024</v>
      </c>
      <c r="B253">
        <v>5</v>
      </c>
      <c r="C253" t="s">
        <v>439</v>
      </c>
      <c r="D253" t="s">
        <v>44</v>
      </c>
      <c r="E253" t="s">
        <v>253</v>
      </c>
      <c r="F253" t="s">
        <v>432</v>
      </c>
      <c r="G253">
        <v>72851</v>
      </c>
    </row>
    <row r="254" spans="1:7" x14ac:dyDescent="0.35">
      <c r="A254">
        <v>2024</v>
      </c>
      <c r="B254">
        <v>5</v>
      </c>
      <c r="C254" t="s">
        <v>439</v>
      </c>
      <c r="D254" t="s">
        <v>16</v>
      </c>
      <c r="E254" t="s">
        <v>254</v>
      </c>
      <c r="F254" t="s">
        <v>433</v>
      </c>
      <c r="G254">
        <v>27548</v>
      </c>
    </row>
    <row r="255" spans="1:7" x14ac:dyDescent="0.35">
      <c r="A255">
        <v>2024</v>
      </c>
      <c r="B255">
        <v>5</v>
      </c>
      <c r="C255" t="s">
        <v>439</v>
      </c>
      <c r="D255" t="s">
        <v>34</v>
      </c>
      <c r="E255" t="s">
        <v>278</v>
      </c>
      <c r="F255" t="s">
        <v>458</v>
      </c>
      <c r="G255">
        <v>537486</v>
      </c>
    </row>
    <row r="256" spans="1:7" x14ac:dyDescent="0.35">
      <c r="A256">
        <v>2024</v>
      </c>
      <c r="B256">
        <v>5</v>
      </c>
      <c r="C256" t="s">
        <v>439</v>
      </c>
      <c r="D256" t="s">
        <v>17</v>
      </c>
      <c r="E256" t="s">
        <v>255</v>
      </c>
      <c r="F256" t="s">
        <v>434</v>
      </c>
      <c r="G256">
        <v>19200</v>
      </c>
    </row>
    <row r="257" spans="1:7" x14ac:dyDescent="0.35">
      <c r="A257">
        <v>2024</v>
      </c>
      <c r="B257">
        <v>5</v>
      </c>
      <c r="C257" t="s">
        <v>439</v>
      </c>
      <c r="D257" t="s">
        <v>37</v>
      </c>
      <c r="E257" t="s">
        <v>256</v>
      </c>
      <c r="F257" t="s">
        <v>435</v>
      </c>
      <c r="G257">
        <v>-40021.1</v>
      </c>
    </row>
    <row r="258" spans="1:7" x14ac:dyDescent="0.35">
      <c r="A258">
        <v>2024</v>
      </c>
      <c r="B258">
        <v>5</v>
      </c>
      <c r="C258" t="s">
        <v>439</v>
      </c>
      <c r="D258" t="s">
        <v>37</v>
      </c>
      <c r="E258" t="s">
        <v>257</v>
      </c>
      <c r="F258" t="s">
        <v>436</v>
      </c>
      <c r="G258">
        <v>-6687725.4500000002</v>
      </c>
    </row>
    <row r="259" spans="1:7" x14ac:dyDescent="0.35">
      <c r="A259">
        <v>2024</v>
      </c>
      <c r="B259">
        <v>5</v>
      </c>
      <c r="C259" t="s">
        <v>439</v>
      </c>
      <c r="D259" t="s">
        <v>37</v>
      </c>
      <c r="E259" t="s">
        <v>258</v>
      </c>
      <c r="F259" t="s">
        <v>437</v>
      </c>
      <c r="G259">
        <v>-1305.22</v>
      </c>
    </row>
    <row r="260" spans="1:7" x14ac:dyDescent="0.35">
      <c r="A260">
        <v>2024</v>
      </c>
      <c r="B260">
        <v>5</v>
      </c>
      <c r="C260" t="s">
        <v>439</v>
      </c>
      <c r="D260" t="s">
        <v>18</v>
      </c>
      <c r="E260" t="s">
        <v>259</v>
      </c>
      <c r="F260" t="s">
        <v>438</v>
      </c>
      <c r="G260">
        <v>24827</v>
      </c>
    </row>
    <row r="261" spans="1:7" x14ac:dyDescent="0.35">
      <c r="A261">
        <v>2024</v>
      </c>
      <c r="B261">
        <v>5</v>
      </c>
      <c r="C261" t="s">
        <v>439</v>
      </c>
      <c r="D261" t="s">
        <v>279</v>
      </c>
      <c r="E261" t="s">
        <v>280</v>
      </c>
      <c r="F261" t="s">
        <v>459</v>
      </c>
      <c r="G261">
        <v>6664</v>
      </c>
    </row>
    <row r="262" spans="1:7" x14ac:dyDescent="0.35">
      <c r="A262">
        <v>2024</v>
      </c>
      <c r="B262">
        <v>6</v>
      </c>
      <c r="C262" t="s">
        <v>460</v>
      </c>
      <c r="D262" t="s">
        <v>59</v>
      </c>
      <c r="E262" t="s">
        <v>133</v>
      </c>
      <c r="F262" t="s">
        <v>313</v>
      </c>
      <c r="G262">
        <v>2550</v>
      </c>
    </row>
    <row r="263" spans="1:7" x14ac:dyDescent="0.35">
      <c r="A263">
        <v>2024</v>
      </c>
      <c r="B263">
        <v>6</v>
      </c>
      <c r="C263" t="s">
        <v>460</v>
      </c>
      <c r="D263" t="s">
        <v>6</v>
      </c>
      <c r="E263" t="s">
        <v>135</v>
      </c>
      <c r="F263" t="s">
        <v>316</v>
      </c>
      <c r="G263">
        <v>16243</v>
      </c>
    </row>
    <row r="264" spans="1:7" x14ac:dyDescent="0.35">
      <c r="A264">
        <v>2024</v>
      </c>
      <c r="B264">
        <v>6</v>
      </c>
      <c r="C264" t="s">
        <v>460</v>
      </c>
      <c r="D264" t="s">
        <v>6</v>
      </c>
      <c r="E264" t="s">
        <v>136</v>
      </c>
      <c r="F264" t="s">
        <v>317</v>
      </c>
      <c r="G264">
        <v>20754</v>
      </c>
    </row>
    <row r="265" spans="1:7" x14ac:dyDescent="0.35">
      <c r="A265">
        <v>2024</v>
      </c>
      <c r="B265">
        <v>6</v>
      </c>
      <c r="C265" t="s">
        <v>460</v>
      </c>
      <c r="D265" t="s">
        <v>6</v>
      </c>
      <c r="E265" t="s">
        <v>137</v>
      </c>
      <c r="F265" t="s">
        <v>318</v>
      </c>
      <c r="G265">
        <v>29461</v>
      </c>
    </row>
    <row r="266" spans="1:7" x14ac:dyDescent="0.35">
      <c r="A266">
        <v>2024</v>
      </c>
      <c r="B266">
        <v>6</v>
      </c>
      <c r="C266" t="s">
        <v>460</v>
      </c>
      <c r="D266" t="s">
        <v>6</v>
      </c>
      <c r="E266" t="s">
        <v>138</v>
      </c>
      <c r="F266" t="s">
        <v>319</v>
      </c>
      <c r="G266">
        <v>69510</v>
      </c>
    </row>
    <row r="267" spans="1:7" x14ac:dyDescent="0.35">
      <c r="A267">
        <v>2024</v>
      </c>
      <c r="B267">
        <v>6</v>
      </c>
      <c r="C267" t="s">
        <v>460</v>
      </c>
      <c r="D267" t="s">
        <v>62</v>
      </c>
      <c r="E267" t="s">
        <v>139</v>
      </c>
      <c r="F267" t="s">
        <v>320</v>
      </c>
      <c r="G267">
        <v>313</v>
      </c>
    </row>
    <row r="268" spans="1:7" x14ac:dyDescent="0.35">
      <c r="A268">
        <v>2024</v>
      </c>
      <c r="B268">
        <v>6</v>
      </c>
      <c r="C268" t="s">
        <v>460</v>
      </c>
      <c r="D268" t="s">
        <v>19</v>
      </c>
      <c r="E268" t="s">
        <v>142</v>
      </c>
      <c r="F268" t="s">
        <v>323</v>
      </c>
      <c r="G268">
        <v>159</v>
      </c>
    </row>
    <row r="269" spans="1:7" x14ac:dyDescent="0.35">
      <c r="A269">
        <v>2024</v>
      </c>
      <c r="B269">
        <v>6</v>
      </c>
      <c r="C269" t="s">
        <v>460</v>
      </c>
      <c r="D269" t="s">
        <v>31</v>
      </c>
      <c r="E269" t="s">
        <v>143</v>
      </c>
      <c r="F269" t="s">
        <v>324</v>
      </c>
      <c r="G269">
        <v>199618</v>
      </c>
    </row>
    <row r="270" spans="1:7" x14ac:dyDescent="0.35">
      <c r="A270">
        <v>2024</v>
      </c>
      <c r="B270">
        <v>6</v>
      </c>
      <c r="C270" t="s">
        <v>460</v>
      </c>
      <c r="D270" t="s">
        <v>26</v>
      </c>
      <c r="E270" t="s">
        <v>144</v>
      </c>
      <c r="F270" t="s">
        <v>325</v>
      </c>
      <c r="G270">
        <v>18014</v>
      </c>
    </row>
    <row r="271" spans="1:7" x14ac:dyDescent="0.35">
      <c r="A271">
        <v>2024</v>
      </c>
      <c r="B271">
        <v>6</v>
      </c>
      <c r="C271" t="s">
        <v>460</v>
      </c>
      <c r="D271" t="s">
        <v>41</v>
      </c>
      <c r="E271" t="s">
        <v>145</v>
      </c>
      <c r="F271" t="s">
        <v>326</v>
      </c>
      <c r="G271">
        <v>95880</v>
      </c>
    </row>
    <row r="272" spans="1:7" x14ac:dyDescent="0.35">
      <c r="A272">
        <v>2024</v>
      </c>
      <c r="B272">
        <v>6</v>
      </c>
      <c r="C272" t="s">
        <v>460</v>
      </c>
      <c r="D272" t="s">
        <v>42</v>
      </c>
      <c r="E272" t="s">
        <v>146</v>
      </c>
      <c r="F272" t="s">
        <v>327</v>
      </c>
      <c r="G272">
        <v>1572</v>
      </c>
    </row>
    <row r="273" spans="1:7" x14ac:dyDescent="0.35">
      <c r="A273">
        <v>2024</v>
      </c>
      <c r="B273">
        <v>6</v>
      </c>
      <c r="C273" t="s">
        <v>460</v>
      </c>
      <c r="D273" t="s">
        <v>67</v>
      </c>
      <c r="E273" t="s">
        <v>148</v>
      </c>
      <c r="F273" t="s">
        <v>329</v>
      </c>
      <c r="G273">
        <v>1753</v>
      </c>
    </row>
    <row r="274" spans="1:7" x14ac:dyDescent="0.35">
      <c r="A274">
        <v>2024</v>
      </c>
      <c r="B274">
        <v>6</v>
      </c>
      <c r="C274" t="s">
        <v>460</v>
      </c>
      <c r="D274" t="s">
        <v>67</v>
      </c>
      <c r="E274" t="s">
        <v>149</v>
      </c>
      <c r="F274" t="s">
        <v>330</v>
      </c>
      <c r="G274">
        <v>7415</v>
      </c>
    </row>
    <row r="275" spans="1:7" x14ac:dyDescent="0.35">
      <c r="A275">
        <v>2024</v>
      </c>
      <c r="B275">
        <v>6</v>
      </c>
      <c r="C275" t="s">
        <v>460</v>
      </c>
      <c r="D275" t="s">
        <v>67</v>
      </c>
      <c r="E275" t="s">
        <v>150</v>
      </c>
      <c r="F275" t="s">
        <v>331</v>
      </c>
      <c r="G275">
        <v>271131</v>
      </c>
    </row>
    <row r="276" spans="1:7" x14ac:dyDescent="0.35">
      <c r="A276">
        <v>2024</v>
      </c>
      <c r="B276">
        <v>6</v>
      </c>
      <c r="C276" t="s">
        <v>460</v>
      </c>
      <c r="D276" t="s">
        <v>67</v>
      </c>
      <c r="E276" t="s">
        <v>151</v>
      </c>
      <c r="F276" t="s">
        <v>332</v>
      </c>
      <c r="G276">
        <v>22198</v>
      </c>
    </row>
    <row r="277" spans="1:7" x14ac:dyDescent="0.35">
      <c r="A277">
        <v>2024</v>
      </c>
      <c r="B277">
        <v>6</v>
      </c>
      <c r="C277" t="s">
        <v>460</v>
      </c>
      <c r="D277" t="s">
        <v>67</v>
      </c>
      <c r="E277" t="s">
        <v>152</v>
      </c>
      <c r="F277" t="s">
        <v>333</v>
      </c>
      <c r="G277">
        <v>8325</v>
      </c>
    </row>
    <row r="278" spans="1:7" x14ac:dyDescent="0.35">
      <c r="A278">
        <v>2024</v>
      </c>
      <c r="B278">
        <v>6</v>
      </c>
      <c r="C278" t="s">
        <v>460</v>
      </c>
      <c r="D278" t="s">
        <v>93</v>
      </c>
      <c r="E278" t="s">
        <v>153</v>
      </c>
      <c r="F278" t="s">
        <v>334</v>
      </c>
      <c r="G278">
        <v>81360.66</v>
      </c>
    </row>
    <row r="279" spans="1:7" x14ac:dyDescent="0.35">
      <c r="A279">
        <v>2024</v>
      </c>
      <c r="B279">
        <v>6</v>
      </c>
      <c r="C279" t="s">
        <v>460</v>
      </c>
      <c r="D279" t="s">
        <v>93</v>
      </c>
      <c r="E279" t="s">
        <v>154</v>
      </c>
      <c r="F279" t="s">
        <v>335</v>
      </c>
      <c r="G279">
        <v>82636.98</v>
      </c>
    </row>
    <row r="280" spans="1:7" x14ac:dyDescent="0.35">
      <c r="A280">
        <v>2024</v>
      </c>
      <c r="B280">
        <v>6</v>
      </c>
      <c r="C280" t="s">
        <v>460</v>
      </c>
      <c r="D280" t="s">
        <v>93</v>
      </c>
      <c r="E280" t="s">
        <v>281</v>
      </c>
      <c r="F280" t="s">
        <v>461</v>
      </c>
      <c r="G280">
        <v>3000</v>
      </c>
    </row>
    <row r="281" spans="1:7" x14ac:dyDescent="0.35">
      <c r="A281">
        <v>2024</v>
      </c>
      <c r="B281">
        <v>6</v>
      </c>
      <c r="C281" t="s">
        <v>460</v>
      </c>
      <c r="D281" t="s">
        <v>89</v>
      </c>
      <c r="E281" t="s">
        <v>155</v>
      </c>
      <c r="F281" t="s">
        <v>336</v>
      </c>
      <c r="G281">
        <v>-87233.17</v>
      </c>
    </row>
    <row r="282" spans="1:7" x14ac:dyDescent="0.35">
      <c r="A282">
        <v>2024</v>
      </c>
      <c r="B282">
        <v>6</v>
      </c>
      <c r="C282" t="s">
        <v>460</v>
      </c>
      <c r="D282" t="s">
        <v>89</v>
      </c>
      <c r="E282" t="s">
        <v>156</v>
      </c>
      <c r="F282" t="s">
        <v>337</v>
      </c>
      <c r="G282">
        <v>421514.82</v>
      </c>
    </row>
    <row r="283" spans="1:7" x14ac:dyDescent="0.35">
      <c r="A283">
        <v>2024</v>
      </c>
      <c r="B283">
        <v>6</v>
      </c>
      <c r="C283" t="s">
        <v>460</v>
      </c>
      <c r="D283" t="s">
        <v>8</v>
      </c>
      <c r="E283" t="s">
        <v>157</v>
      </c>
      <c r="F283" t="s">
        <v>338</v>
      </c>
      <c r="G283">
        <v>7804</v>
      </c>
    </row>
    <row r="284" spans="1:7" x14ac:dyDescent="0.35">
      <c r="A284">
        <v>2024</v>
      </c>
      <c r="B284">
        <v>6</v>
      </c>
      <c r="C284" t="s">
        <v>460</v>
      </c>
      <c r="D284" t="s">
        <v>20</v>
      </c>
      <c r="E284" t="s">
        <v>158</v>
      </c>
      <c r="F284" t="s">
        <v>339</v>
      </c>
      <c r="G284">
        <v>1174197</v>
      </c>
    </row>
    <row r="285" spans="1:7" x14ac:dyDescent="0.35">
      <c r="A285">
        <v>2024</v>
      </c>
      <c r="B285">
        <v>6</v>
      </c>
      <c r="C285" t="s">
        <v>460</v>
      </c>
      <c r="D285" t="s">
        <v>21</v>
      </c>
      <c r="E285" t="s">
        <v>159</v>
      </c>
      <c r="F285" t="s">
        <v>340</v>
      </c>
      <c r="G285">
        <v>262545</v>
      </c>
    </row>
    <row r="286" spans="1:7" x14ac:dyDescent="0.35">
      <c r="A286">
        <v>2024</v>
      </c>
      <c r="B286">
        <v>6</v>
      </c>
      <c r="C286" t="s">
        <v>460</v>
      </c>
      <c r="D286" t="s">
        <v>160</v>
      </c>
      <c r="E286" t="s">
        <v>161</v>
      </c>
      <c r="F286" t="s">
        <v>341</v>
      </c>
      <c r="G286">
        <v>19394</v>
      </c>
    </row>
    <row r="287" spans="1:7" x14ac:dyDescent="0.35">
      <c r="A287">
        <v>2024</v>
      </c>
      <c r="B287">
        <v>6</v>
      </c>
      <c r="C287" t="s">
        <v>460</v>
      </c>
      <c r="D287" t="s">
        <v>22</v>
      </c>
      <c r="E287" t="s">
        <v>165</v>
      </c>
      <c r="F287" t="s">
        <v>344</v>
      </c>
      <c r="G287">
        <v>9344</v>
      </c>
    </row>
    <row r="288" spans="1:7" x14ac:dyDescent="0.35">
      <c r="A288">
        <v>2024</v>
      </c>
      <c r="B288">
        <v>6</v>
      </c>
      <c r="C288" t="s">
        <v>460</v>
      </c>
      <c r="D288" t="s">
        <v>27</v>
      </c>
      <c r="E288" t="s">
        <v>166</v>
      </c>
      <c r="F288" t="s">
        <v>345</v>
      </c>
      <c r="G288">
        <v>34452</v>
      </c>
    </row>
    <row r="289" spans="1:7" x14ac:dyDescent="0.35">
      <c r="A289">
        <v>2024</v>
      </c>
      <c r="B289">
        <v>6</v>
      </c>
      <c r="C289" t="s">
        <v>460</v>
      </c>
      <c r="D289" t="s">
        <v>167</v>
      </c>
      <c r="E289" t="s">
        <v>167</v>
      </c>
      <c r="F289" t="s">
        <v>346</v>
      </c>
      <c r="G289">
        <v>4490466</v>
      </c>
    </row>
    <row r="290" spans="1:7" x14ac:dyDescent="0.35">
      <c r="A290">
        <v>2024</v>
      </c>
      <c r="B290">
        <v>6</v>
      </c>
      <c r="C290" t="s">
        <v>460</v>
      </c>
      <c r="D290" t="s">
        <v>9</v>
      </c>
      <c r="E290" t="s">
        <v>168</v>
      </c>
      <c r="F290" t="s">
        <v>347</v>
      </c>
      <c r="G290">
        <v>11274</v>
      </c>
    </row>
    <row r="291" spans="1:7" x14ac:dyDescent="0.35">
      <c r="A291">
        <v>2024</v>
      </c>
      <c r="B291">
        <v>6</v>
      </c>
      <c r="C291" t="s">
        <v>460</v>
      </c>
      <c r="D291" t="s">
        <v>9</v>
      </c>
      <c r="E291" t="s">
        <v>169</v>
      </c>
      <c r="F291" t="s">
        <v>348</v>
      </c>
      <c r="G291">
        <v>9890</v>
      </c>
    </row>
    <row r="292" spans="1:7" x14ac:dyDescent="0.35">
      <c r="A292">
        <v>2024</v>
      </c>
      <c r="B292">
        <v>6</v>
      </c>
      <c r="C292" t="s">
        <v>460</v>
      </c>
      <c r="D292" t="s">
        <v>72</v>
      </c>
      <c r="E292" t="s">
        <v>170</v>
      </c>
      <c r="F292" t="s">
        <v>349</v>
      </c>
      <c r="G292">
        <v>57075</v>
      </c>
    </row>
    <row r="293" spans="1:7" x14ac:dyDescent="0.35">
      <c r="A293">
        <v>2024</v>
      </c>
      <c r="B293">
        <v>6</v>
      </c>
      <c r="C293" t="s">
        <v>460</v>
      </c>
      <c r="D293" t="s">
        <v>39</v>
      </c>
      <c r="E293" t="s">
        <v>171</v>
      </c>
      <c r="F293" t="s">
        <v>350</v>
      </c>
      <c r="G293">
        <v>16961</v>
      </c>
    </row>
    <row r="294" spans="1:7" x14ac:dyDescent="0.35">
      <c r="A294">
        <v>2024</v>
      </c>
      <c r="B294">
        <v>6</v>
      </c>
      <c r="C294" t="s">
        <v>460</v>
      </c>
      <c r="D294" t="s">
        <v>10</v>
      </c>
      <c r="E294" t="s">
        <v>172</v>
      </c>
      <c r="F294" t="s">
        <v>351</v>
      </c>
      <c r="G294">
        <v>2222</v>
      </c>
    </row>
    <row r="295" spans="1:7" x14ac:dyDescent="0.35">
      <c r="A295">
        <v>2024</v>
      </c>
      <c r="B295">
        <v>6</v>
      </c>
      <c r="C295" t="s">
        <v>460</v>
      </c>
      <c r="D295" t="s">
        <v>66</v>
      </c>
      <c r="E295" t="s">
        <v>173</v>
      </c>
      <c r="F295" t="s">
        <v>352</v>
      </c>
      <c r="G295">
        <v>429546</v>
      </c>
    </row>
    <row r="296" spans="1:7" x14ac:dyDescent="0.35">
      <c r="A296">
        <v>2024</v>
      </c>
      <c r="B296">
        <v>6</v>
      </c>
      <c r="C296" t="s">
        <v>460</v>
      </c>
      <c r="D296" t="s">
        <v>66</v>
      </c>
      <c r="E296" t="s">
        <v>174</v>
      </c>
      <c r="F296" t="s">
        <v>353</v>
      </c>
      <c r="G296">
        <v>21915</v>
      </c>
    </row>
    <row r="297" spans="1:7" x14ac:dyDescent="0.35">
      <c r="A297">
        <v>2024</v>
      </c>
      <c r="B297">
        <v>6</v>
      </c>
      <c r="C297" t="s">
        <v>460</v>
      </c>
      <c r="D297" t="s">
        <v>66</v>
      </c>
      <c r="E297" t="s">
        <v>175</v>
      </c>
      <c r="F297" t="s">
        <v>354</v>
      </c>
      <c r="G297">
        <v>483</v>
      </c>
    </row>
    <row r="298" spans="1:7" x14ac:dyDescent="0.35">
      <c r="A298">
        <v>2024</v>
      </c>
      <c r="B298">
        <v>6</v>
      </c>
      <c r="C298" t="s">
        <v>460</v>
      </c>
      <c r="D298" t="s">
        <v>66</v>
      </c>
      <c r="E298" t="s">
        <v>176</v>
      </c>
      <c r="F298" t="s">
        <v>355</v>
      </c>
      <c r="G298">
        <v>43555</v>
      </c>
    </row>
    <row r="299" spans="1:7" x14ac:dyDescent="0.35">
      <c r="A299">
        <v>2024</v>
      </c>
      <c r="B299">
        <v>6</v>
      </c>
      <c r="C299" t="s">
        <v>460</v>
      </c>
      <c r="D299" t="s">
        <v>66</v>
      </c>
      <c r="E299" t="s">
        <v>177</v>
      </c>
      <c r="F299" t="s">
        <v>356</v>
      </c>
      <c r="G299">
        <v>63282</v>
      </c>
    </row>
    <row r="300" spans="1:7" x14ac:dyDescent="0.35">
      <c r="A300">
        <v>2024</v>
      </c>
      <c r="B300">
        <v>6</v>
      </c>
      <c r="C300" t="s">
        <v>460</v>
      </c>
      <c r="D300" t="s">
        <v>66</v>
      </c>
      <c r="E300" t="s">
        <v>178</v>
      </c>
      <c r="F300" t="s">
        <v>357</v>
      </c>
      <c r="G300">
        <v>7163</v>
      </c>
    </row>
    <row r="301" spans="1:7" x14ac:dyDescent="0.35">
      <c r="A301">
        <v>2024</v>
      </c>
      <c r="B301">
        <v>6</v>
      </c>
      <c r="C301" t="s">
        <v>460</v>
      </c>
      <c r="D301" t="s">
        <v>74</v>
      </c>
      <c r="E301" t="s">
        <v>205</v>
      </c>
      <c r="F301" t="s">
        <v>384</v>
      </c>
      <c r="G301">
        <v>1983</v>
      </c>
    </row>
    <row r="302" spans="1:7" x14ac:dyDescent="0.35">
      <c r="A302">
        <v>2024</v>
      </c>
      <c r="B302">
        <v>6</v>
      </c>
      <c r="C302" t="s">
        <v>460</v>
      </c>
      <c r="D302" t="s">
        <v>74</v>
      </c>
      <c r="E302" t="s">
        <v>264</v>
      </c>
      <c r="F302" t="s">
        <v>444</v>
      </c>
      <c r="G302">
        <v>6812</v>
      </c>
    </row>
    <row r="303" spans="1:7" x14ac:dyDescent="0.35">
      <c r="A303">
        <v>2024</v>
      </c>
      <c r="B303">
        <v>6</v>
      </c>
      <c r="C303" t="s">
        <v>460</v>
      </c>
      <c r="D303" t="s">
        <v>74</v>
      </c>
      <c r="E303" t="s">
        <v>282</v>
      </c>
      <c r="F303" t="s">
        <v>462</v>
      </c>
      <c r="G303">
        <v>4412</v>
      </c>
    </row>
    <row r="304" spans="1:7" x14ac:dyDescent="0.35">
      <c r="A304">
        <v>2024</v>
      </c>
      <c r="B304">
        <v>6</v>
      </c>
      <c r="C304" t="s">
        <v>460</v>
      </c>
      <c r="D304" t="s">
        <v>74</v>
      </c>
      <c r="E304" t="s">
        <v>298</v>
      </c>
      <c r="F304" t="s">
        <v>363</v>
      </c>
      <c r="G304">
        <v>23704</v>
      </c>
    </row>
    <row r="305" spans="1:7" x14ac:dyDescent="0.35">
      <c r="A305">
        <v>2024</v>
      </c>
      <c r="B305">
        <v>6</v>
      </c>
      <c r="C305" t="s">
        <v>460</v>
      </c>
      <c r="D305" t="s">
        <v>74</v>
      </c>
      <c r="E305" t="s">
        <v>283</v>
      </c>
      <c r="F305" t="s">
        <v>463</v>
      </c>
      <c r="G305">
        <v>519</v>
      </c>
    </row>
    <row r="306" spans="1:7" x14ac:dyDescent="0.35">
      <c r="A306">
        <v>2024</v>
      </c>
      <c r="B306">
        <v>6</v>
      </c>
      <c r="C306" t="s">
        <v>460</v>
      </c>
      <c r="D306" t="s">
        <v>85</v>
      </c>
      <c r="E306" t="s">
        <v>188</v>
      </c>
      <c r="F306" t="s">
        <v>366</v>
      </c>
      <c r="G306">
        <v>664392.98</v>
      </c>
    </row>
    <row r="307" spans="1:7" x14ac:dyDescent="0.35">
      <c r="A307">
        <v>2024</v>
      </c>
      <c r="B307">
        <v>6</v>
      </c>
      <c r="C307" t="s">
        <v>460</v>
      </c>
      <c r="D307" t="s">
        <v>106</v>
      </c>
      <c r="E307" t="s">
        <v>189</v>
      </c>
      <c r="F307" t="s">
        <v>367</v>
      </c>
      <c r="G307">
        <v>3068622</v>
      </c>
    </row>
    <row r="308" spans="1:7" x14ac:dyDescent="0.35">
      <c r="A308">
        <v>2024</v>
      </c>
      <c r="B308">
        <v>6</v>
      </c>
      <c r="C308" t="s">
        <v>460</v>
      </c>
      <c r="D308" t="s">
        <v>106</v>
      </c>
      <c r="E308" t="s">
        <v>190</v>
      </c>
      <c r="F308" t="s">
        <v>368</v>
      </c>
      <c r="G308">
        <v>122742</v>
      </c>
    </row>
    <row r="309" spans="1:7" x14ac:dyDescent="0.35">
      <c r="A309">
        <v>2024</v>
      </c>
      <c r="B309">
        <v>6</v>
      </c>
      <c r="C309" t="s">
        <v>460</v>
      </c>
      <c r="D309" t="s">
        <v>106</v>
      </c>
      <c r="E309" t="s">
        <v>191</v>
      </c>
      <c r="F309" t="s">
        <v>369</v>
      </c>
      <c r="G309">
        <v>751147</v>
      </c>
    </row>
    <row r="310" spans="1:7" x14ac:dyDescent="0.35">
      <c r="A310">
        <v>2024</v>
      </c>
      <c r="B310">
        <v>6</v>
      </c>
      <c r="C310" t="s">
        <v>460</v>
      </c>
      <c r="D310" t="s">
        <v>106</v>
      </c>
      <c r="E310" t="s">
        <v>192</v>
      </c>
      <c r="F310" t="s">
        <v>370</v>
      </c>
      <c r="G310">
        <v>272589</v>
      </c>
    </row>
    <row r="311" spans="1:7" x14ac:dyDescent="0.35">
      <c r="A311">
        <v>2024</v>
      </c>
      <c r="B311">
        <v>6</v>
      </c>
      <c r="C311" t="s">
        <v>460</v>
      </c>
      <c r="D311" t="s">
        <v>106</v>
      </c>
      <c r="E311" t="s">
        <v>284</v>
      </c>
      <c r="F311" t="s">
        <v>464</v>
      </c>
      <c r="G311">
        <v>79529</v>
      </c>
    </row>
    <row r="312" spans="1:7" x14ac:dyDescent="0.35">
      <c r="A312">
        <v>2024</v>
      </c>
      <c r="B312">
        <v>6</v>
      </c>
      <c r="C312" t="s">
        <v>460</v>
      </c>
      <c r="D312" t="s">
        <v>106</v>
      </c>
      <c r="E312" t="s">
        <v>193</v>
      </c>
      <c r="F312" t="s">
        <v>371</v>
      </c>
      <c r="G312">
        <v>28000</v>
      </c>
    </row>
    <row r="313" spans="1:7" x14ac:dyDescent="0.35">
      <c r="A313">
        <v>2024</v>
      </c>
      <c r="B313">
        <v>6</v>
      </c>
      <c r="C313" t="s">
        <v>460</v>
      </c>
      <c r="D313" t="s">
        <v>106</v>
      </c>
      <c r="E313" t="s">
        <v>194</v>
      </c>
      <c r="F313" t="s">
        <v>372</v>
      </c>
      <c r="G313">
        <v>500</v>
      </c>
    </row>
    <row r="314" spans="1:7" x14ac:dyDescent="0.35">
      <c r="A314">
        <v>2024</v>
      </c>
      <c r="B314">
        <v>6</v>
      </c>
      <c r="C314" t="s">
        <v>460</v>
      </c>
      <c r="D314" t="s">
        <v>106</v>
      </c>
      <c r="E314" t="s">
        <v>195</v>
      </c>
      <c r="F314" t="s">
        <v>373</v>
      </c>
      <c r="G314">
        <v>116901</v>
      </c>
    </row>
    <row r="315" spans="1:7" x14ac:dyDescent="0.35">
      <c r="A315">
        <v>2024</v>
      </c>
      <c r="B315">
        <v>6</v>
      </c>
      <c r="C315" t="s">
        <v>460</v>
      </c>
      <c r="D315" t="s">
        <v>75</v>
      </c>
      <c r="E315" t="s">
        <v>204</v>
      </c>
      <c r="F315" t="s">
        <v>383</v>
      </c>
      <c r="G315">
        <v>39213</v>
      </c>
    </row>
    <row r="316" spans="1:7" x14ac:dyDescent="0.35">
      <c r="A316">
        <v>2024</v>
      </c>
      <c r="B316">
        <v>6</v>
      </c>
      <c r="C316" t="s">
        <v>460</v>
      </c>
      <c r="D316" t="s">
        <v>23</v>
      </c>
      <c r="E316" t="s">
        <v>206</v>
      </c>
      <c r="F316" t="s">
        <v>385</v>
      </c>
      <c r="G316">
        <v>17420</v>
      </c>
    </row>
    <row r="317" spans="1:7" x14ac:dyDescent="0.35">
      <c r="A317">
        <v>2024</v>
      </c>
      <c r="B317">
        <v>6</v>
      </c>
      <c r="C317" t="s">
        <v>460</v>
      </c>
      <c r="D317" t="s">
        <v>24</v>
      </c>
      <c r="E317" t="s">
        <v>207</v>
      </c>
      <c r="F317" t="s">
        <v>386</v>
      </c>
      <c r="G317">
        <v>146635</v>
      </c>
    </row>
    <row r="318" spans="1:7" x14ac:dyDescent="0.35">
      <c r="A318">
        <v>2024</v>
      </c>
      <c r="B318">
        <v>6</v>
      </c>
      <c r="C318" t="s">
        <v>460</v>
      </c>
      <c r="D318" t="s">
        <v>519</v>
      </c>
      <c r="E318" t="s">
        <v>202</v>
      </c>
      <c r="F318" t="s">
        <v>380</v>
      </c>
      <c r="G318">
        <v>2600</v>
      </c>
    </row>
    <row r="319" spans="1:7" x14ac:dyDescent="0.35">
      <c r="A319">
        <v>2024</v>
      </c>
      <c r="B319">
        <v>6</v>
      </c>
      <c r="C319" t="s">
        <v>460</v>
      </c>
      <c r="D319" t="s">
        <v>519</v>
      </c>
      <c r="E319" t="s">
        <v>203</v>
      </c>
      <c r="F319" t="s">
        <v>381</v>
      </c>
      <c r="G319">
        <v>5592</v>
      </c>
    </row>
    <row r="320" spans="1:7" x14ac:dyDescent="0.35">
      <c r="A320">
        <v>2024</v>
      </c>
      <c r="B320">
        <v>6</v>
      </c>
      <c r="C320" t="s">
        <v>460</v>
      </c>
      <c r="D320" t="s">
        <v>519</v>
      </c>
      <c r="E320" t="s">
        <v>196</v>
      </c>
      <c r="F320" t="s">
        <v>382</v>
      </c>
      <c r="G320">
        <v>3.15</v>
      </c>
    </row>
    <row r="321" spans="1:7" x14ac:dyDescent="0.35">
      <c r="A321">
        <v>2024</v>
      </c>
      <c r="B321">
        <v>6</v>
      </c>
      <c r="C321" t="s">
        <v>460</v>
      </c>
      <c r="D321" t="s">
        <v>519</v>
      </c>
      <c r="E321" t="s">
        <v>285</v>
      </c>
      <c r="F321" t="s">
        <v>465</v>
      </c>
      <c r="G321">
        <v>6917.41</v>
      </c>
    </row>
    <row r="322" spans="1:7" x14ac:dyDescent="0.35">
      <c r="A322">
        <v>2024</v>
      </c>
      <c r="B322">
        <v>6</v>
      </c>
      <c r="C322" t="s">
        <v>460</v>
      </c>
      <c r="D322" t="s">
        <v>520</v>
      </c>
      <c r="E322" t="s">
        <v>208</v>
      </c>
      <c r="F322" t="s">
        <v>387</v>
      </c>
      <c r="G322">
        <v>104</v>
      </c>
    </row>
    <row r="323" spans="1:7" x14ac:dyDescent="0.35">
      <c r="A323">
        <v>2024</v>
      </c>
      <c r="B323">
        <v>6</v>
      </c>
      <c r="C323" t="s">
        <v>460</v>
      </c>
      <c r="D323" t="s">
        <v>520</v>
      </c>
      <c r="E323" t="s">
        <v>134</v>
      </c>
      <c r="F323" t="s">
        <v>315</v>
      </c>
      <c r="G323">
        <v>9155</v>
      </c>
    </row>
    <row r="324" spans="1:7" x14ac:dyDescent="0.35">
      <c r="A324">
        <v>2024</v>
      </c>
      <c r="B324">
        <v>6</v>
      </c>
      <c r="C324" t="s">
        <v>460</v>
      </c>
      <c r="D324" t="s">
        <v>520</v>
      </c>
      <c r="E324" t="s">
        <v>196</v>
      </c>
      <c r="F324" t="s">
        <v>374</v>
      </c>
      <c r="G324">
        <v>6</v>
      </c>
    </row>
    <row r="325" spans="1:7" x14ac:dyDescent="0.35">
      <c r="A325">
        <v>2024</v>
      </c>
      <c r="B325">
        <v>6</v>
      </c>
      <c r="C325" t="s">
        <v>460</v>
      </c>
      <c r="D325" t="s">
        <v>520</v>
      </c>
      <c r="E325" t="s">
        <v>200</v>
      </c>
      <c r="F325" t="s">
        <v>378</v>
      </c>
      <c r="G325">
        <v>2951</v>
      </c>
    </row>
    <row r="326" spans="1:7" x14ac:dyDescent="0.35">
      <c r="A326">
        <v>2024</v>
      </c>
      <c r="B326">
        <v>6</v>
      </c>
      <c r="C326" t="s">
        <v>460</v>
      </c>
      <c r="D326" t="s">
        <v>520</v>
      </c>
      <c r="E326" t="s">
        <v>201</v>
      </c>
      <c r="F326" t="s">
        <v>379</v>
      </c>
      <c r="G326">
        <v>16311</v>
      </c>
    </row>
    <row r="327" spans="1:7" x14ac:dyDescent="0.35">
      <c r="A327">
        <v>2024</v>
      </c>
      <c r="B327">
        <v>6</v>
      </c>
      <c r="C327" t="s">
        <v>460</v>
      </c>
      <c r="D327" t="s">
        <v>33</v>
      </c>
      <c r="E327" t="s">
        <v>209</v>
      </c>
      <c r="F327" t="s">
        <v>388</v>
      </c>
      <c r="G327">
        <v>9417</v>
      </c>
    </row>
    <row r="328" spans="1:7" x14ac:dyDescent="0.35">
      <c r="A328">
        <v>2024</v>
      </c>
      <c r="B328">
        <v>6</v>
      </c>
      <c r="C328" t="s">
        <v>460</v>
      </c>
      <c r="D328" t="s">
        <v>12</v>
      </c>
      <c r="E328" t="s">
        <v>299</v>
      </c>
      <c r="F328" t="s">
        <v>393</v>
      </c>
      <c r="G328">
        <v>631</v>
      </c>
    </row>
    <row r="329" spans="1:7" x14ac:dyDescent="0.35">
      <c r="A329">
        <v>2024</v>
      </c>
      <c r="B329">
        <v>6</v>
      </c>
      <c r="C329" t="s">
        <v>460</v>
      </c>
      <c r="D329" t="s">
        <v>12</v>
      </c>
      <c r="E329" t="s">
        <v>214</v>
      </c>
      <c r="F329" t="s">
        <v>394</v>
      </c>
      <c r="G329">
        <v>4234</v>
      </c>
    </row>
    <row r="330" spans="1:7" x14ac:dyDescent="0.35">
      <c r="A330">
        <v>2024</v>
      </c>
      <c r="B330">
        <v>6</v>
      </c>
      <c r="C330" t="s">
        <v>460</v>
      </c>
      <c r="D330" t="s">
        <v>12</v>
      </c>
      <c r="E330" t="s">
        <v>286</v>
      </c>
      <c r="F330" t="s">
        <v>466</v>
      </c>
      <c r="G330">
        <v>1437</v>
      </c>
    </row>
    <row r="331" spans="1:7" x14ac:dyDescent="0.35">
      <c r="A331">
        <v>2024</v>
      </c>
      <c r="B331">
        <v>6</v>
      </c>
      <c r="C331" t="s">
        <v>460</v>
      </c>
      <c r="D331" t="s">
        <v>12</v>
      </c>
      <c r="E331" t="s">
        <v>220</v>
      </c>
      <c r="F331" t="s">
        <v>400</v>
      </c>
      <c r="G331">
        <v>3203</v>
      </c>
    </row>
    <row r="332" spans="1:7" x14ac:dyDescent="0.35">
      <c r="A332">
        <v>2024</v>
      </c>
      <c r="B332">
        <v>6</v>
      </c>
      <c r="C332" t="s">
        <v>460</v>
      </c>
      <c r="D332" t="s">
        <v>12</v>
      </c>
      <c r="E332" t="s">
        <v>222</v>
      </c>
      <c r="F332" t="s">
        <v>402</v>
      </c>
      <c r="G332">
        <v>6536</v>
      </c>
    </row>
    <row r="333" spans="1:7" x14ac:dyDescent="0.35">
      <c r="A333">
        <v>2024</v>
      </c>
      <c r="B333">
        <v>6</v>
      </c>
      <c r="C333" t="s">
        <v>460</v>
      </c>
      <c r="D333" t="s">
        <v>28</v>
      </c>
      <c r="E333" t="s">
        <v>223</v>
      </c>
      <c r="F333" t="s">
        <v>403</v>
      </c>
      <c r="G333">
        <v>59528</v>
      </c>
    </row>
    <row r="334" spans="1:7" x14ac:dyDescent="0.35">
      <c r="A334">
        <v>2024</v>
      </c>
      <c r="B334">
        <v>6</v>
      </c>
      <c r="C334" t="s">
        <v>460</v>
      </c>
      <c r="D334" t="s">
        <v>28</v>
      </c>
      <c r="E334" t="s">
        <v>224</v>
      </c>
      <c r="F334" t="s">
        <v>404</v>
      </c>
      <c r="G334">
        <v>7487</v>
      </c>
    </row>
    <row r="335" spans="1:7" x14ac:dyDescent="0.35">
      <c r="A335">
        <v>2024</v>
      </c>
      <c r="B335">
        <v>6</v>
      </c>
      <c r="C335" t="s">
        <v>460</v>
      </c>
      <c r="D335" t="s">
        <v>64</v>
      </c>
      <c r="E335" t="s">
        <v>225</v>
      </c>
      <c r="F335" t="s">
        <v>405</v>
      </c>
      <c r="G335">
        <v>7622</v>
      </c>
    </row>
    <row r="336" spans="1:7" x14ac:dyDescent="0.35">
      <c r="A336">
        <v>2024</v>
      </c>
      <c r="B336">
        <v>6</v>
      </c>
      <c r="C336" t="s">
        <v>460</v>
      </c>
      <c r="D336" t="s">
        <v>102</v>
      </c>
      <c r="E336" t="s">
        <v>227</v>
      </c>
      <c r="F336" t="s">
        <v>407</v>
      </c>
      <c r="G336">
        <v>159880</v>
      </c>
    </row>
    <row r="337" spans="1:7" x14ac:dyDescent="0.35">
      <c r="A337">
        <v>2024</v>
      </c>
      <c r="B337">
        <v>6</v>
      </c>
      <c r="C337" t="s">
        <v>460</v>
      </c>
      <c r="D337" t="s">
        <v>25</v>
      </c>
      <c r="E337" t="s">
        <v>228</v>
      </c>
      <c r="F337" t="s">
        <v>408</v>
      </c>
      <c r="G337">
        <v>1200</v>
      </c>
    </row>
    <row r="338" spans="1:7" x14ac:dyDescent="0.35">
      <c r="A338">
        <v>2024</v>
      </c>
      <c r="B338">
        <v>6</v>
      </c>
      <c r="C338" t="s">
        <v>460</v>
      </c>
      <c r="D338" t="s">
        <v>25</v>
      </c>
      <c r="E338" t="s">
        <v>274</v>
      </c>
      <c r="F338" t="s">
        <v>454</v>
      </c>
      <c r="G338">
        <v>182400</v>
      </c>
    </row>
    <row r="339" spans="1:7" x14ac:dyDescent="0.35">
      <c r="A339">
        <v>2024</v>
      </c>
      <c r="B339">
        <v>6</v>
      </c>
      <c r="C339" t="s">
        <v>460</v>
      </c>
      <c r="D339" t="s">
        <v>229</v>
      </c>
      <c r="E339" t="s">
        <v>230</v>
      </c>
      <c r="F339" t="s">
        <v>409</v>
      </c>
      <c r="G339">
        <v>611154</v>
      </c>
    </row>
    <row r="340" spans="1:7" x14ac:dyDescent="0.35">
      <c r="A340">
        <v>2024</v>
      </c>
      <c r="B340">
        <v>6</v>
      </c>
      <c r="C340" t="s">
        <v>460</v>
      </c>
      <c r="D340" t="s">
        <v>231</v>
      </c>
      <c r="E340" t="s">
        <v>231</v>
      </c>
      <c r="F340" t="s">
        <v>410</v>
      </c>
      <c r="G340">
        <v>1200</v>
      </c>
    </row>
    <row r="341" spans="1:7" x14ac:dyDescent="0.35">
      <c r="A341">
        <v>2024</v>
      </c>
      <c r="B341">
        <v>6</v>
      </c>
      <c r="C341" t="s">
        <v>460</v>
      </c>
      <c r="D341" t="s">
        <v>13</v>
      </c>
      <c r="E341" t="s">
        <v>232</v>
      </c>
      <c r="F341" t="s">
        <v>411</v>
      </c>
      <c r="G341">
        <v>3967</v>
      </c>
    </row>
    <row r="342" spans="1:7" x14ac:dyDescent="0.35">
      <c r="A342">
        <v>2024</v>
      </c>
      <c r="B342">
        <v>6</v>
      </c>
      <c r="C342" t="s">
        <v>460</v>
      </c>
      <c r="D342" t="s">
        <v>94</v>
      </c>
      <c r="E342" t="s">
        <v>233</v>
      </c>
      <c r="F342" t="s">
        <v>412</v>
      </c>
      <c r="G342">
        <v>48398</v>
      </c>
    </row>
    <row r="343" spans="1:7" x14ac:dyDescent="0.35">
      <c r="A343">
        <v>2024</v>
      </c>
      <c r="B343">
        <v>6</v>
      </c>
      <c r="C343" t="s">
        <v>460</v>
      </c>
      <c r="D343" t="s">
        <v>36</v>
      </c>
      <c r="E343" t="s">
        <v>275</v>
      </c>
      <c r="F343" t="s">
        <v>455</v>
      </c>
      <c r="G343">
        <v>9139</v>
      </c>
    </row>
    <row r="344" spans="1:7" x14ac:dyDescent="0.35">
      <c r="A344">
        <v>2024</v>
      </c>
      <c r="B344">
        <v>6</v>
      </c>
      <c r="C344" t="s">
        <v>460</v>
      </c>
      <c r="D344" t="s">
        <v>40</v>
      </c>
      <c r="E344" t="s">
        <v>235</v>
      </c>
      <c r="F344" t="s">
        <v>414</v>
      </c>
      <c r="G344">
        <v>3980</v>
      </c>
    </row>
    <row r="345" spans="1:7" x14ac:dyDescent="0.35">
      <c r="A345">
        <v>2024</v>
      </c>
      <c r="B345">
        <v>6</v>
      </c>
      <c r="C345" t="s">
        <v>460</v>
      </c>
      <c r="D345" t="s">
        <v>45</v>
      </c>
      <c r="E345" t="s">
        <v>276</v>
      </c>
      <c r="F345" t="s">
        <v>456</v>
      </c>
      <c r="G345">
        <v>40740</v>
      </c>
    </row>
    <row r="346" spans="1:7" x14ac:dyDescent="0.35">
      <c r="A346">
        <v>2024</v>
      </c>
      <c r="B346">
        <v>6</v>
      </c>
      <c r="C346" t="s">
        <v>460</v>
      </c>
      <c r="D346" t="s">
        <v>76</v>
      </c>
      <c r="E346" t="s">
        <v>236</v>
      </c>
      <c r="F346" t="s">
        <v>415</v>
      </c>
      <c r="G346">
        <v>4490466</v>
      </c>
    </row>
    <row r="347" spans="1:7" x14ac:dyDescent="0.35">
      <c r="A347">
        <v>2024</v>
      </c>
      <c r="B347">
        <v>6</v>
      </c>
      <c r="C347" t="s">
        <v>460</v>
      </c>
      <c r="D347" t="s">
        <v>76</v>
      </c>
      <c r="E347" t="s">
        <v>237</v>
      </c>
      <c r="F347" t="s">
        <v>416</v>
      </c>
      <c r="G347">
        <v>159880.49</v>
      </c>
    </row>
    <row r="348" spans="1:7" x14ac:dyDescent="0.35">
      <c r="A348">
        <v>2024</v>
      </c>
      <c r="B348">
        <v>6</v>
      </c>
      <c r="C348" t="s">
        <v>460</v>
      </c>
      <c r="D348" t="s">
        <v>76</v>
      </c>
      <c r="E348" t="s">
        <v>238</v>
      </c>
      <c r="F348" t="s">
        <v>417</v>
      </c>
      <c r="G348">
        <v>-25800.21</v>
      </c>
    </row>
    <row r="349" spans="1:7" x14ac:dyDescent="0.35">
      <c r="A349">
        <v>2024</v>
      </c>
      <c r="B349">
        <v>6</v>
      </c>
      <c r="C349" t="s">
        <v>460</v>
      </c>
      <c r="D349" t="s">
        <v>76</v>
      </c>
      <c r="E349" t="s">
        <v>239</v>
      </c>
      <c r="F349" t="s">
        <v>418</v>
      </c>
      <c r="G349">
        <v>-10614615.050000001</v>
      </c>
    </row>
    <row r="350" spans="1:7" x14ac:dyDescent="0.35">
      <c r="A350">
        <v>2024</v>
      </c>
      <c r="B350">
        <v>6</v>
      </c>
      <c r="C350" t="s">
        <v>460</v>
      </c>
      <c r="D350" t="s">
        <v>35</v>
      </c>
      <c r="E350" t="s">
        <v>240</v>
      </c>
      <c r="F350" t="s">
        <v>419</v>
      </c>
      <c r="G350">
        <v>98977</v>
      </c>
    </row>
    <row r="351" spans="1:7" x14ac:dyDescent="0.35">
      <c r="A351">
        <v>2024</v>
      </c>
      <c r="B351">
        <v>6</v>
      </c>
      <c r="C351" t="s">
        <v>460</v>
      </c>
      <c r="D351" t="s">
        <v>103</v>
      </c>
      <c r="E351" t="s">
        <v>242</v>
      </c>
      <c r="F351" t="s">
        <v>421</v>
      </c>
      <c r="G351">
        <v>-25800</v>
      </c>
    </row>
    <row r="352" spans="1:7" x14ac:dyDescent="0.35">
      <c r="A352">
        <v>2024</v>
      </c>
      <c r="B352">
        <v>6</v>
      </c>
      <c r="C352" t="s">
        <v>460</v>
      </c>
      <c r="D352" t="s">
        <v>104</v>
      </c>
      <c r="E352" t="s">
        <v>243</v>
      </c>
      <c r="F352" t="s">
        <v>422</v>
      </c>
      <c r="G352">
        <v>-10614615</v>
      </c>
    </row>
    <row r="353" spans="1:7" x14ac:dyDescent="0.35">
      <c r="A353">
        <v>2024</v>
      </c>
      <c r="B353">
        <v>6</v>
      </c>
      <c r="C353" t="s">
        <v>460</v>
      </c>
      <c r="D353" t="s">
        <v>244</v>
      </c>
      <c r="E353" t="s">
        <v>245</v>
      </c>
      <c r="F353" t="s">
        <v>423</v>
      </c>
      <c r="G353">
        <v>3390</v>
      </c>
    </row>
    <row r="354" spans="1:7" x14ac:dyDescent="0.35">
      <c r="A354">
        <v>2024</v>
      </c>
      <c r="B354">
        <v>6</v>
      </c>
      <c r="C354" t="s">
        <v>460</v>
      </c>
      <c r="D354" t="s">
        <v>14</v>
      </c>
      <c r="E354" t="s">
        <v>131</v>
      </c>
      <c r="F354" t="s">
        <v>425</v>
      </c>
      <c r="G354">
        <v>174879</v>
      </c>
    </row>
    <row r="355" spans="1:7" x14ac:dyDescent="0.35">
      <c r="A355">
        <v>2024</v>
      </c>
      <c r="B355">
        <v>6</v>
      </c>
      <c r="C355" t="s">
        <v>460</v>
      </c>
      <c r="D355" t="s">
        <v>30</v>
      </c>
      <c r="E355" t="s">
        <v>247</v>
      </c>
      <c r="F355" t="s">
        <v>426</v>
      </c>
      <c r="G355">
        <v>10229</v>
      </c>
    </row>
    <row r="356" spans="1:7" x14ac:dyDescent="0.35">
      <c r="A356">
        <v>2024</v>
      </c>
      <c r="B356">
        <v>6</v>
      </c>
      <c r="C356" t="s">
        <v>460</v>
      </c>
      <c r="D356" t="s">
        <v>15</v>
      </c>
      <c r="E356" t="s">
        <v>248</v>
      </c>
      <c r="F356" t="s">
        <v>427</v>
      </c>
      <c r="G356">
        <v>31462</v>
      </c>
    </row>
    <row r="357" spans="1:7" x14ac:dyDescent="0.35">
      <c r="A357">
        <v>2024</v>
      </c>
      <c r="B357">
        <v>6</v>
      </c>
      <c r="C357" t="s">
        <v>460</v>
      </c>
      <c r="D357" t="s">
        <v>90</v>
      </c>
      <c r="E357" t="s">
        <v>277</v>
      </c>
      <c r="F357" t="s">
        <v>457</v>
      </c>
      <c r="G357">
        <v>10000</v>
      </c>
    </row>
    <row r="358" spans="1:7" x14ac:dyDescent="0.35">
      <c r="A358">
        <v>2024</v>
      </c>
      <c r="B358">
        <v>6</v>
      </c>
      <c r="C358" t="s">
        <v>460</v>
      </c>
      <c r="D358" t="s">
        <v>90</v>
      </c>
      <c r="E358" t="s">
        <v>249</v>
      </c>
      <c r="F358" t="s">
        <v>428</v>
      </c>
      <c r="G358">
        <v>10897.5</v>
      </c>
    </row>
    <row r="359" spans="1:7" x14ac:dyDescent="0.35">
      <c r="A359">
        <v>2024</v>
      </c>
      <c r="B359">
        <v>6</v>
      </c>
      <c r="C359" t="s">
        <v>460</v>
      </c>
      <c r="D359" t="s">
        <v>84</v>
      </c>
      <c r="E359" t="s">
        <v>250</v>
      </c>
      <c r="F359" t="s">
        <v>429</v>
      </c>
      <c r="G359">
        <v>3352225.31</v>
      </c>
    </row>
    <row r="360" spans="1:7" x14ac:dyDescent="0.35">
      <c r="A360">
        <v>2024</v>
      </c>
      <c r="B360">
        <v>6</v>
      </c>
      <c r="C360" t="s">
        <v>460</v>
      </c>
      <c r="D360" t="s">
        <v>81</v>
      </c>
      <c r="E360" t="s">
        <v>251</v>
      </c>
      <c r="F360" t="s">
        <v>430</v>
      </c>
      <c r="G360">
        <v>1625094.9</v>
      </c>
    </row>
    <row r="361" spans="1:7" x14ac:dyDescent="0.35">
      <c r="A361">
        <v>2024</v>
      </c>
      <c r="B361">
        <v>6</v>
      </c>
      <c r="C361" t="s">
        <v>460</v>
      </c>
      <c r="D361" t="s">
        <v>81</v>
      </c>
      <c r="E361" t="s">
        <v>252</v>
      </c>
      <c r="F361" t="s">
        <v>431</v>
      </c>
      <c r="G361">
        <v>5611453.5700000003</v>
      </c>
    </row>
    <row r="362" spans="1:7" x14ac:dyDescent="0.35">
      <c r="A362">
        <v>2024</v>
      </c>
      <c r="B362">
        <v>6</v>
      </c>
      <c r="C362" t="s">
        <v>460</v>
      </c>
      <c r="D362" t="s">
        <v>44</v>
      </c>
      <c r="E362" t="s">
        <v>253</v>
      </c>
      <c r="F362" t="s">
        <v>432</v>
      </c>
      <c r="G362">
        <v>82153</v>
      </c>
    </row>
    <row r="363" spans="1:7" x14ac:dyDescent="0.35">
      <c r="A363">
        <v>2024</v>
      </c>
      <c r="B363">
        <v>6</v>
      </c>
      <c r="C363" t="s">
        <v>460</v>
      </c>
      <c r="D363" t="s">
        <v>16</v>
      </c>
      <c r="E363" t="s">
        <v>254</v>
      </c>
      <c r="F363" t="s">
        <v>433</v>
      </c>
      <c r="G363">
        <v>27548</v>
      </c>
    </row>
    <row r="364" spans="1:7" x14ac:dyDescent="0.35">
      <c r="A364">
        <v>2024</v>
      </c>
      <c r="B364">
        <v>6</v>
      </c>
      <c r="C364" t="s">
        <v>460</v>
      </c>
      <c r="D364" t="s">
        <v>34</v>
      </c>
      <c r="E364" t="s">
        <v>278</v>
      </c>
      <c r="F364" t="s">
        <v>458</v>
      </c>
      <c r="G364">
        <v>126041</v>
      </c>
    </row>
    <row r="365" spans="1:7" x14ac:dyDescent="0.35">
      <c r="A365">
        <v>2024</v>
      </c>
      <c r="B365">
        <v>6</v>
      </c>
      <c r="C365" t="s">
        <v>460</v>
      </c>
      <c r="D365" t="s">
        <v>55</v>
      </c>
      <c r="E365" t="s">
        <v>287</v>
      </c>
      <c r="F365" t="s">
        <v>467</v>
      </c>
      <c r="G365">
        <v>60429</v>
      </c>
    </row>
    <row r="366" spans="1:7" x14ac:dyDescent="0.35">
      <c r="A366">
        <v>2024</v>
      </c>
      <c r="B366">
        <v>6</v>
      </c>
      <c r="C366" t="s">
        <v>460</v>
      </c>
      <c r="D366" t="s">
        <v>37</v>
      </c>
      <c r="E366" t="s">
        <v>256</v>
      </c>
      <c r="F366" t="s">
        <v>435</v>
      </c>
      <c r="G366">
        <v>-30356.1</v>
      </c>
    </row>
    <row r="367" spans="1:7" x14ac:dyDescent="0.35">
      <c r="A367">
        <v>2024</v>
      </c>
      <c r="B367">
        <v>6</v>
      </c>
      <c r="C367" t="s">
        <v>460</v>
      </c>
      <c r="D367" t="s">
        <v>37</v>
      </c>
      <c r="E367" t="s">
        <v>257</v>
      </c>
      <c r="F367" t="s">
        <v>436</v>
      </c>
      <c r="G367">
        <v>-4181435</v>
      </c>
    </row>
    <row r="368" spans="1:7" x14ac:dyDescent="0.35">
      <c r="A368">
        <v>2024</v>
      </c>
      <c r="B368">
        <v>6</v>
      </c>
      <c r="C368" t="s">
        <v>460</v>
      </c>
      <c r="D368" t="s">
        <v>37</v>
      </c>
      <c r="E368" t="s">
        <v>258</v>
      </c>
      <c r="F368" t="s">
        <v>437</v>
      </c>
      <c r="G368">
        <v>-124.25</v>
      </c>
    </row>
    <row r="369" spans="1:7" x14ac:dyDescent="0.35">
      <c r="A369">
        <v>2024</v>
      </c>
      <c r="B369">
        <v>6</v>
      </c>
      <c r="C369" t="s">
        <v>460</v>
      </c>
      <c r="D369" t="s">
        <v>18</v>
      </c>
      <c r="E369" t="s">
        <v>259</v>
      </c>
      <c r="F369" t="s">
        <v>438</v>
      </c>
      <c r="G369">
        <v>88519</v>
      </c>
    </row>
    <row r="370" spans="1:7" x14ac:dyDescent="0.35">
      <c r="A370">
        <v>2024</v>
      </c>
      <c r="B370">
        <v>7</v>
      </c>
      <c r="C370" t="s">
        <v>468</v>
      </c>
      <c r="D370" t="s">
        <v>59</v>
      </c>
      <c r="E370" t="s">
        <v>133</v>
      </c>
      <c r="F370" t="s">
        <v>313</v>
      </c>
      <c r="G370">
        <v>14436</v>
      </c>
    </row>
    <row r="371" spans="1:7" x14ac:dyDescent="0.35">
      <c r="A371">
        <v>2024</v>
      </c>
      <c r="B371">
        <v>7</v>
      </c>
      <c r="C371" t="s">
        <v>468</v>
      </c>
      <c r="D371" t="s">
        <v>38</v>
      </c>
      <c r="E371" t="s">
        <v>122</v>
      </c>
      <c r="F371" t="s">
        <v>314</v>
      </c>
      <c r="G371">
        <v>16050</v>
      </c>
    </row>
    <row r="372" spans="1:7" x14ac:dyDescent="0.35">
      <c r="A372">
        <v>2024</v>
      </c>
      <c r="B372">
        <v>7</v>
      </c>
      <c r="C372" t="s">
        <v>468</v>
      </c>
      <c r="D372" t="s">
        <v>6</v>
      </c>
      <c r="E372" t="s">
        <v>135</v>
      </c>
      <c r="F372" t="s">
        <v>316</v>
      </c>
      <c r="G372">
        <v>13374</v>
      </c>
    </row>
    <row r="373" spans="1:7" x14ac:dyDescent="0.35">
      <c r="A373">
        <v>2024</v>
      </c>
      <c r="B373">
        <v>7</v>
      </c>
      <c r="C373" t="s">
        <v>468</v>
      </c>
      <c r="D373" t="s">
        <v>6</v>
      </c>
      <c r="E373" t="s">
        <v>136</v>
      </c>
      <c r="F373" t="s">
        <v>317</v>
      </c>
      <c r="G373">
        <v>59845</v>
      </c>
    </row>
    <row r="374" spans="1:7" x14ac:dyDescent="0.35">
      <c r="A374">
        <v>2024</v>
      </c>
      <c r="B374">
        <v>7</v>
      </c>
      <c r="C374" t="s">
        <v>468</v>
      </c>
      <c r="D374" t="s">
        <v>6</v>
      </c>
      <c r="E374" t="s">
        <v>137</v>
      </c>
      <c r="F374" t="s">
        <v>318</v>
      </c>
      <c r="G374">
        <v>41476</v>
      </c>
    </row>
    <row r="375" spans="1:7" x14ac:dyDescent="0.35">
      <c r="A375">
        <v>2024</v>
      </c>
      <c r="B375">
        <v>7</v>
      </c>
      <c r="C375" t="s">
        <v>468</v>
      </c>
      <c r="D375" t="s">
        <v>6</v>
      </c>
      <c r="E375" t="s">
        <v>138</v>
      </c>
      <c r="F375" t="s">
        <v>319</v>
      </c>
      <c r="G375">
        <v>38336</v>
      </c>
    </row>
    <row r="376" spans="1:7" x14ac:dyDescent="0.35">
      <c r="A376">
        <v>2024</v>
      </c>
      <c r="B376">
        <v>7</v>
      </c>
      <c r="C376" t="s">
        <v>468</v>
      </c>
      <c r="D376" t="s">
        <v>62</v>
      </c>
      <c r="E376" t="s">
        <v>288</v>
      </c>
      <c r="F376" t="s">
        <v>470</v>
      </c>
      <c r="G376">
        <v>194</v>
      </c>
    </row>
    <row r="377" spans="1:7" x14ac:dyDescent="0.35">
      <c r="A377">
        <v>2024</v>
      </c>
      <c r="B377">
        <v>7</v>
      </c>
      <c r="C377" t="s">
        <v>468</v>
      </c>
      <c r="D377" t="s">
        <v>62</v>
      </c>
      <c r="E377" t="s">
        <v>139</v>
      </c>
      <c r="F377" t="s">
        <v>320</v>
      </c>
      <c r="G377">
        <v>294</v>
      </c>
    </row>
    <row r="378" spans="1:7" x14ac:dyDescent="0.35">
      <c r="A378">
        <v>2024</v>
      </c>
      <c r="B378">
        <v>7</v>
      </c>
      <c r="C378" t="s">
        <v>468</v>
      </c>
      <c r="D378" t="s">
        <v>62</v>
      </c>
      <c r="E378" t="s">
        <v>261</v>
      </c>
      <c r="F378" t="s">
        <v>441</v>
      </c>
      <c r="G378">
        <v>1565</v>
      </c>
    </row>
    <row r="379" spans="1:7" x14ac:dyDescent="0.35">
      <c r="A379">
        <v>2024</v>
      </c>
      <c r="B379">
        <v>7</v>
      </c>
      <c r="C379" t="s">
        <v>468</v>
      </c>
      <c r="D379" t="s">
        <v>62</v>
      </c>
      <c r="E379" t="s">
        <v>140</v>
      </c>
      <c r="F379" t="s">
        <v>321</v>
      </c>
      <c r="G379">
        <v>-15200</v>
      </c>
    </row>
    <row r="380" spans="1:7" x14ac:dyDescent="0.35">
      <c r="A380">
        <v>2024</v>
      </c>
      <c r="B380">
        <v>7</v>
      </c>
      <c r="C380" t="s">
        <v>468</v>
      </c>
      <c r="D380" t="s">
        <v>62</v>
      </c>
      <c r="E380" t="s">
        <v>141</v>
      </c>
      <c r="F380" t="s">
        <v>322</v>
      </c>
      <c r="G380">
        <v>1970</v>
      </c>
    </row>
    <row r="381" spans="1:7" x14ac:dyDescent="0.35">
      <c r="A381">
        <v>2024</v>
      </c>
      <c r="B381">
        <v>7</v>
      </c>
      <c r="C381" t="s">
        <v>468</v>
      </c>
      <c r="D381" t="s">
        <v>31</v>
      </c>
      <c r="E381" t="s">
        <v>143</v>
      </c>
      <c r="F381" t="s">
        <v>324</v>
      </c>
      <c r="G381">
        <v>274384</v>
      </c>
    </row>
    <row r="382" spans="1:7" x14ac:dyDescent="0.35">
      <c r="A382">
        <v>2024</v>
      </c>
      <c r="B382">
        <v>7</v>
      </c>
      <c r="C382" t="s">
        <v>468</v>
      </c>
      <c r="D382" t="s">
        <v>91</v>
      </c>
      <c r="E382" t="s">
        <v>300</v>
      </c>
      <c r="F382" t="s">
        <v>469</v>
      </c>
      <c r="G382">
        <v>299250</v>
      </c>
    </row>
    <row r="383" spans="1:7" x14ac:dyDescent="0.35">
      <c r="A383">
        <v>2024</v>
      </c>
      <c r="B383">
        <v>7</v>
      </c>
      <c r="C383" t="s">
        <v>468</v>
      </c>
      <c r="D383" t="s">
        <v>7</v>
      </c>
      <c r="E383" t="s">
        <v>147</v>
      </c>
      <c r="F383" t="s">
        <v>328</v>
      </c>
      <c r="G383">
        <v>67039</v>
      </c>
    </row>
    <row r="384" spans="1:7" x14ac:dyDescent="0.35">
      <c r="A384">
        <v>2024</v>
      </c>
      <c r="B384">
        <v>7</v>
      </c>
      <c r="C384" t="s">
        <v>468</v>
      </c>
      <c r="D384" t="s">
        <v>67</v>
      </c>
      <c r="E384" t="s">
        <v>148</v>
      </c>
      <c r="F384" t="s">
        <v>329</v>
      </c>
      <c r="G384">
        <v>1677</v>
      </c>
    </row>
    <row r="385" spans="1:7" x14ac:dyDescent="0.35">
      <c r="A385">
        <v>2024</v>
      </c>
      <c r="B385">
        <v>7</v>
      </c>
      <c r="C385" t="s">
        <v>468</v>
      </c>
      <c r="D385" t="s">
        <v>67</v>
      </c>
      <c r="E385" t="s">
        <v>149</v>
      </c>
      <c r="F385" t="s">
        <v>330</v>
      </c>
      <c r="G385">
        <v>7310</v>
      </c>
    </row>
    <row r="386" spans="1:7" x14ac:dyDescent="0.35">
      <c r="A386">
        <v>2024</v>
      </c>
      <c r="B386">
        <v>7</v>
      </c>
      <c r="C386" t="s">
        <v>468</v>
      </c>
      <c r="D386" t="s">
        <v>67</v>
      </c>
      <c r="E386" t="s">
        <v>150</v>
      </c>
      <c r="F386" t="s">
        <v>331</v>
      </c>
      <c r="G386">
        <v>58092</v>
      </c>
    </row>
    <row r="387" spans="1:7" x14ac:dyDescent="0.35">
      <c r="A387">
        <v>2024</v>
      </c>
      <c r="B387">
        <v>7</v>
      </c>
      <c r="C387" t="s">
        <v>468</v>
      </c>
      <c r="D387" t="s">
        <v>67</v>
      </c>
      <c r="E387" t="s">
        <v>151</v>
      </c>
      <c r="F387" t="s">
        <v>332</v>
      </c>
      <c r="G387">
        <v>84818</v>
      </c>
    </row>
    <row r="388" spans="1:7" x14ac:dyDescent="0.35">
      <c r="A388">
        <v>2024</v>
      </c>
      <c r="B388">
        <v>7</v>
      </c>
      <c r="C388" t="s">
        <v>468</v>
      </c>
      <c r="D388" t="s">
        <v>67</v>
      </c>
      <c r="E388" t="s">
        <v>152</v>
      </c>
      <c r="F388" t="s">
        <v>333</v>
      </c>
      <c r="G388">
        <v>5052</v>
      </c>
    </row>
    <row r="389" spans="1:7" x14ac:dyDescent="0.35">
      <c r="A389">
        <v>2024</v>
      </c>
      <c r="B389">
        <v>7</v>
      </c>
      <c r="C389" t="s">
        <v>468</v>
      </c>
      <c r="D389" t="s">
        <v>93</v>
      </c>
      <c r="E389" t="s">
        <v>153</v>
      </c>
      <c r="F389" t="s">
        <v>334</v>
      </c>
      <c r="G389">
        <v>73075.5</v>
      </c>
    </row>
    <row r="390" spans="1:7" x14ac:dyDescent="0.35">
      <c r="A390">
        <v>2024</v>
      </c>
      <c r="B390">
        <v>7</v>
      </c>
      <c r="C390" t="s">
        <v>468</v>
      </c>
      <c r="D390" t="s">
        <v>93</v>
      </c>
      <c r="E390" t="s">
        <v>154</v>
      </c>
      <c r="F390" t="s">
        <v>335</v>
      </c>
      <c r="G390">
        <v>201352.93</v>
      </c>
    </row>
    <row r="391" spans="1:7" x14ac:dyDescent="0.35">
      <c r="A391">
        <v>2024</v>
      </c>
      <c r="B391">
        <v>7</v>
      </c>
      <c r="C391" t="s">
        <v>468</v>
      </c>
      <c r="D391" t="s">
        <v>93</v>
      </c>
      <c r="E391" t="s">
        <v>281</v>
      </c>
      <c r="F391" t="s">
        <v>461</v>
      </c>
      <c r="G391">
        <v>87000</v>
      </c>
    </row>
    <row r="392" spans="1:7" x14ac:dyDescent="0.35">
      <c r="A392">
        <v>2024</v>
      </c>
      <c r="B392">
        <v>7</v>
      </c>
      <c r="C392" t="s">
        <v>468</v>
      </c>
      <c r="D392" t="s">
        <v>89</v>
      </c>
      <c r="E392" t="s">
        <v>155</v>
      </c>
      <c r="F392" t="s">
        <v>336</v>
      </c>
      <c r="G392">
        <v>-92212.31</v>
      </c>
    </row>
    <row r="393" spans="1:7" x14ac:dyDescent="0.35">
      <c r="A393">
        <v>2024</v>
      </c>
      <c r="B393">
        <v>7</v>
      </c>
      <c r="C393" t="s">
        <v>468</v>
      </c>
      <c r="D393" t="s">
        <v>89</v>
      </c>
      <c r="E393" t="s">
        <v>156</v>
      </c>
      <c r="F393" t="s">
        <v>337</v>
      </c>
      <c r="G393">
        <v>448451.63</v>
      </c>
    </row>
    <row r="394" spans="1:7" x14ac:dyDescent="0.35">
      <c r="A394">
        <v>2024</v>
      </c>
      <c r="B394">
        <v>7</v>
      </c>
      <c r="C394" t="s">
        <v>468</v>
      </c>
      <c r="D394" t="s">
        <v>61</v>
      </c>
      <c r="E394" t="s">
        <v>262</v>
      </c>
      <c r="F394" t="s">
        <v>442</v>
      </c>
      <c r="G394">
        <v>520</v>
      </c>
    </row>
    <row r="395" spans="1:7" x14ac:dyDescent="0.35">
      <c r="A395">
        <v>2024</v>
      </c>
      <c r="B395">
        <v>7</v>
      </c>
      <c r="C395" t="s">
        <v>468</v>
      </c>
      <c r="D395" t="s">
        <v>8</v>
      </c>
      <c r="E395" t="s">
        <v>157</v>
      </c>
      <c r="F395" t="s">
        <v>338</v>
      </c>
      <c r="G395">
        <v>2315</v>
      </c>
    </row>
    <row r="396" spans="1:7" x14ac:dyDescent="0.35">
      <c r="A396">
        <v>2024</v>
      </c>
      <c r="B396">
        <v>7</v>
      </c>
      <c r="C396" t="s">
        <v>468</v>
      </c>
      <c r="D396" t="s">
        <v>20</v>
      </c>
      <c r="E396" t="s">
        <v>158</v>
      </c>
      <c r="F396" t="s">
        <v>339</v>
      </c>
      <c r="G396">
        <v>677480</v>
      </c>
    </row>
    <row r="397" spans="1:7" x14ac:dyDescent="0.35">
      <c r="A397">
        <v>2024</v>
      </c>
      <c r="B397">
        <v>7</v>
      </c>
      <c r="C397" t="s">
        <v>468</v>
      </c>
      <c r="D397" t="s">
        <v>21</v>
      </c>
      <c r="E397" t="s">
        <v>159</v>
      </c>
      <c r="F397" t="s">
        <v>340</v>
      </c>
      <c r="G397">
        <v>188065</v>
      </c>
    </row>
    <row r="398" spans="1:7" x14ac:dyDescent="0.35">
      <c r="A398">
        <v>2024</v>
      </c>
      <c r="B398">
        <v>7</v>
      </c>
      <c r="C398" t="s">
        <v>468</v>
      </c>
      <c r="D398" t="s">
        <v>160</v>
      </c>
      <c r="E398" t="s">
        <v>161</v>
      </c>
      <c r="F398" t="s">
        <v>341</v>
      </c>
      <c r="G398">
        <v>152500</v>
      </c>
    </row>
    <row r="399" spans="1:7" x14ac:dyDescent="0.35">
      <c r="A399">
        <v>2024</v>
      </c>
      <c r="B399">
        <v>7</v>
      </c>
      <c r="C399" t="s">
        <v>468</v>
      </c>
      <c r="D399" t="s">
        <v>32</v>
      </c>
      <c r="E399" t="s">
        <v>162</v>
      </c>
      <c r="F399" t="s">
        <v>342</v>
      </c>
      <c r="G399">
        <v>22454</v>
      </c>
    </row>
    <row r="400" spans="1:7" x14ac:dyDescent="0.35">
      <c r="A400">
        <v>2024</v>
      </c>
      <c r="B400">
        <v>7</v>
      </c>
      <c r="C400" t="s">
        <v>468</v>
      </c>
      <c r="D400" t="s">
        <v>22</v>
      </c>
      <c r="E400" t="s">
        <v>165</v>
      </c>
      <c r="F400" t="s">
        <v>344</v>
      </c>
      <c r="G400">
        <v>1733</v>
      </c>
    </row>
    <row r="401" spans="1:7" x14ac:dyDescent="0.35">
      <c r="A401">
        <v>2024</v>
      </c>
      <c r="B401">
        <v>7</v>
      </c>
      <c r="C401" t="s">
        <v>468</v>
      </c>
      <c r="D401" t="s">
        <v>27</v>
      </c>
      <c r="E401" t="s">
        <v>166</v>
      </c>
      <c r="F401" t="s">
        <v>345</v>
      </c>
      <c r="G401">
        <v>65154</v>
      </c>
    </row>
    <row r="402" spans="1:7" x14ac:dyDescent="0.35">
      <c r="A402">
        <v>2024</v>
      </c>
      <c r="B402">
        <v>7</v>
      </c>
      <c r="C402" t="s">
        <v>468</v>
      </c>
      <c r="D402" t="s">
        <v>167</v>
      </c>
      <c r="E402" t="s">
        <v>167</v>
      </c>
      <c r="F402" t="s">
        <v>346</v>
      </c>
      <c r="G402">
        <v>-4555338</v>
      </c>
    </row>
    <row r="403" spans="1:7" x14ac:dyDescent="0.35">
      <c r="A403">
        <v>2024</v>
      </c>
      <c r="B403">
        <v>7</v>
      </c>
      <c r="C403" t="s">
        <v>468</v>
      </c>
      <c r="D403" t="s">
        <v>9</v>
      </c>
      <c r="E403" t="s">
        <v>168</v>
      </c>
      <c r="F403" t="s">
        <v>347</v>
      </c>
      <c r="G403">
        <v>12299</v>
      </c>
    </row>
    <row r="404" spans="1:7" x14ac:dyDescent="0.35">
      <c r="A404">
        <v>2024</v>
      </c>
      <c r="B404">
        <v>7</v>
      </c>
      <c r="C404" t="s">
        <v>468</v>
      </c>
      <c r="D404" t="s">
        <v>9</v>
      </c>
      <c r="E404" t="s">
        <v>169</v>
      </c>
      <c r="F404" t="s">
        <v>348</v>
      </c>
      <c r="G404">
        <v>-6147</v>
      </c>
    </row>
    <row r="405" spans="1:7" x14ac:dyDescent="0.35">
      <c r="A405">
        <v>2024</v>
      </c>
      <c r="B405">
        <v>7</v>
      </c>
      <c r="C405" t="s">
        <v>468</v>
      </c>
      <c r="D405" t="s">
        <v>72</v>
      </c>
      <c r="E405" t="s">
        <v>170</v>
      </c>
      <c r="F405" t="s">
        <v>349</v>
      </c>
      <c r="G405">
        <v>315551</v>
      </c>
    </row>
    <row r="406" spans="1:7" x14ac:dyDescent="0.35">
      <c r="A406">
        <v>2024</v>
      </c>
      <c r="B406">
        <v>7</v>
      </c>
      <c r="C406" t="s">
        <v>468</v>
      </c>
      <c r="D406" t="s">
        <v>39</v>
      </c>
      <c r="E406" t="s">
        <v>171</v>
      </c>
      <c r="F406" t="s">
        <v>350</v>
      </c>
      <c r="G406">
        <v>17751</v>
      </c>
    </row>
    <row r="407" spans="1:7" x14ac:dyDescent="0.35">
      <c r="A407">
        <v>2024</v>
      </c>
      <c r="B407">
        <v>7</v>
      </c>
      <c r="C407" t="s">
        <v>468</v>
      </c>
      <c r="D407" t="s">
        <v>10</v>
      </c>
      <c r="E407" t="s">
        <v>172</v>
      </c>
      <c r="F407" t="s">
        <v>351</v>
      </c>
      <c r="G407">
        <v>5457</v>
      </c>
    </row>
    <row r="408" spans="1:7" x14ac:dyDescent="0.35">
      <c r="A408">
        <v>2024</v>
      </c>
      <c r="B408">
        <v>7</v>
      </c>
      <c r="C408" t="s">
        <v>468</v>
      </c>
      <c r="D408" t="s">
        <v>66</v>
      </c>
      <c r="E408" t="s">
        <v>173</v>
      </c>
      <c r="F408" t="s">
        <v>352</v>
      </c>
      <c r="G408">
        <v>429546</v>
      </c>
    </row>
    <row r="409" spans="1:7" x14ac:dyDescent="0.35">
      <c r="A409">
        <v>2024</v>
      </c>
      <c r="B409">
        <v>7</v>
      </c>
      <c r="C409" t="s">
        <v>468</v>
      </c>
      <c r="D409" t="s">
        <v>66</v>
      </c>
      <c r="E409" t="s">
        <v>174</v>
      </c>
      <c r="F409" t="s">
        <v>353</v>
      </c>
      <c r="G409">
        <v>21915</v>
      </c>
    </row>
    <row r="410" spans="1:7" x14ac:dyDescent="0.35">
      <c r="A410">
        <v>2024</v>
      </c>
      <c r="B410">
        <v>7</v>
      </c>
      <c r="C410" t="s">
        <v>468</v>
      </c>
      <c r="D410" t="s">
        <v>66</v>
      </c>
      <c r="E410" t="s">
        <v>175</v>
      </c>
      <c r="F410" t="s">
        <v>354</v>
      </c>
      <c r="G410">
        <v>483</v>
      </c>
    </row>
    <row r="411" spans="1:7" x14ac:dyDescent="0.35">
      <c r="A411">
        <v>2024</v>
      </c>
      <c r="B411">
        <v>7</v>
      </c>
      <c r="C411" t="s">
        <v>468</v>
      </c>
      <c r="D411" t="s">
        <v>66</v>
      </c>
      <c r="E411" t="s">
        <v>176</v>
      </c>
      <c r="F411" t="s">
        <v>355</v>
      </c>
      <c r="G411">
        <v>43555</v>
      </c>
    </row>
    <row r="412" spans="1:7" x14ac:dyDescent="0.35">
      <c r="A412">
        <v>2024</v>
      </c>
      <c r="B412">
        <v>7</v>
      </c>
      <c r="C412" t="s">
        <v>468</v>
      </c>
      <c r="D412" t="s">
        <v>66</v>
      </c>
      <c r="E412" t="s">
        <v>177</v>
      </c>
      <c r="F412" t="s">
        <v>356</v>
      </c>
      <c r="G412">
        <v>63282</v>
      </c>
    </row>
    <row r="413" spans="1:7" x14ac:dyDescent="0.35">
      <c r="A413">
        <v>2024</v>
      </c>
      <c r="B413">
        <v>7</v>
      </c>
      <c r="C413" t="s">
        <v>468</v>
      </c>
      <c r="D413" t="s">
        <v>66</v>
      </c>
      <c r="E413" t="s">
        <v>178</v>
      </c>
      <c r="F413" t="s">
        <v>357</v>
      </c>
      <c r="G413">
        <v>7163</v>
      </c>
    </row>
    <row r="414" spans="1:7" x14ac:dyDescent="0.35">
      <c r="A414">
        <v>2024</v>
      </c>
      <c r="B414">
        <v>7</v>
      </c>
      <c r="C414" t="s">
        <v>468</v>
      </c>
      <c r="D414" t="s">
        <v>11</v>
      </c>
      <c r="E414" t="s">
        <v>179</v>
      </c>
      <c r="F414" t="s">
        <v>180</v>
      </c>
      <c r="G414">
        <v>21995</v>
      </c>
    </row>
    <row r="415" spans="1:7" x14ac:dyDescent="0.35">
      <c r="A415">
        <v>2024</v>
      </c>
      <c r="B415">
        <v>7</v>
      </c>
      <c r="C415" t="s">
        <v>468</v>
      </c>
      <c r="D415" t="s">
        <v>74</v>
      </c>
      <c r="E415" t="s">
        <v>205</v>
      </c>
      <c r="F415" t="s">
        <v>384</v>
      </c>
      <c r="G415">
        <v>6598</v>
      </c>
    </row>
    <row r="416" spans="1:7" x14ac:dyDescent="0.35">
      <c r="A416">
        <v>2024</v>
      </c>
      <c r="B416">
        <v>7</v>
      </c>
      <c r="C416" t="s">
        <v>468</v>
      </c>
      <c r="D416" t="s">
        <v>74</v>
      </c>
      <c r="E416" t="s">
        <v>265</v>
      </c>
      <c r="F416" t="s">
        <v>445</v>
      </c>
      <c r="G416">
        <v>1975</v>
      </c>
    </row>
    <row r="417" spans="1:7" x14ac:dyDescent="0.35">
      <c r="A417">
        <v>2024</v>
      </c>
      <c r="B417">
        <v>7</v>
      </c>
      <c r="C417" t="s">
        <v>468</v>
      </c>
      <c r="D417" t="s">
        <v>74</v>
      </c>
      <c r="E417" t="s">
        <v>298</v>
      </c>
      <c r="F417" t="s">
        <v>363</v>
      </c>
      <c r="G417">
        <v>1631</v>
      </c>
    </row>
    <row r="418" spans="1:7" x14ac:dyDescent="0.35">
      <c r="A418">
        <v>2024</v>
      </c>
      <c r="B418">
        <v>7</v>
      </c>
      <c r="C418" t="s">
        <v>468</v>
      </c>
      <c r="D418" t="s">
        <v>74</v>
      </c>
      <c r="E418" t="s">
        <v>187</v>
      </c>
      <c r="F418" t="s">
        <v>365</v>
      </c>
      <c r="G418">
        <v>364</v>
      </c>
    </row>
    <row r="419" spans="1:7" x14ac:dyDescent="0.35">
      <c r="A419">
        <v>2024</v>
      </c>
      <c r="B419">
        <v>7</v>
      </c>
      <c r="C419" t="s">
        <v>468</v>
      </c>
      <c r="D419" t="s">
        <v>85</v>
      </c>
      <c r="E419" t="s">
        <v>188</v>
      </c>
      <c r="F419" t="s">
        <v>366</v>
      </c>
      <c r="G419">
        <v>1022938.45</v>
      </c>
    </row>
    <row r="420" spans="1:7" x14ac:dyDescent="0.35">
      <c r="A420">
        <v>2024</v>
      </c>
      <c r="B420">
        <v>7</v>
      </c>
      <c r="C420" t="s">
        <v>468</v>
      </c>
      <c r="D420" t="s">
        <v>106</v>
      </c>
      <c r="E420" t="s">
        <v>189</v>
      </c>
      <c r="F420" t="s">
        <v>367</v>
      </c>
      <c r="G420">
        <v>3360384</v>
      </c>
    </row>
    <row r="421" spans="1:7" x14ac:dyDescent="0.35">
      <c r="A421">
        <v>2024</v>
      </c>
      <c r="B421">
        <v>7</v>
      </c>
      <c r="C421" t="s">
        <v>468</v>
      </c>
      <c r="D421" t="s">
        <v>106</v>
      </c>
      <c r="E421" t="s">
        <v>190</v>
      </c>
      <c r="F421" t="s">
        <v>368</v>
      </c>
      <c r="G421">
        <v>134219</v>
      </c>
    </row>
    <row r="422" spans="1:7" x14ac:dyDescent="0.35">
      <c r="A422">
        <v>2024</v>
      </c>
      <c r="B422">
        <v>7</v>
      </c>
      <c r="C422" t="s">
        <v>468</v>
      </c>
      <c r="D422" t="s">
        <v>106</v>
      </c>
      <c r="E422" t="s">
        <v>191</v>
      </c>
      <c r="F422" t="s">
        <v>369</v>
      </c>
      <c r="G422">
        <v>823783</v>
      </c>
    </row>
    <row r="423" spans="1:7" x14ac:dyDescent="0.35">
      <c r="A423">
        <v>2024</v>
      </c>
      <c r="B423">
        <v>7</v>
      </c>
      <c r="C423" t="s">
        <v>468</v>
      </c>
      <c r="D423" t="s">
        <v>106</v>
      </c>
      <c r="E423" t="s">
        <v>192</v>
      </c>
      <c r="F423" t="s">
        <v>370</v>
      </c>
      <c r="G423">
        <v>298961</v>
      </c>
    </row>
    <row r="424" spans="1:7" x14ac:dyDescent="0.35">
      <c r="A424">
        <v>2024</v>
      </c>
      <c r="B424">
        <v>7</v>
      </c>
      <c r="C424" t="s">
        <v>468</v>
      </c>
      <c r="D424" t="s">
        <v>106</v>
      </c>
      <c r="E424" t="s">
        <v>193</v>
      </c>
      <c r="F424" t="s">
        <v>371</v>
      </c>
      <c r="G424">
        <v>36798</v>
      </c>
    </row>
    <row r="425" spans="1:7" x14ac:dyDescent="0.35">
      <c r="A425">
        <v>2024</v>
      </c>
      <c r="B425">
        <v>7</v>
      </c>
      <c r="C425" t="s">
        <v>468</v>
      </c>
      <c r="D425" t="s">
        <v>106</v>
      </c>
      <c r="E425" t="s">
        <v>194</v>
      </c>
      <c r="F425" t="s">
        <v>372</v>
      </c>
      <c r="G425">
        <v>3310</v>
      </c>
    </row>
    <row r="426" spans="1:7" x14ac:dyDescent="0.35">
      <c r="A426">
        <v>2024</v>
      </c>
      <c r="B426">
        <v>7</v>
      </c>
      <c r="C426" t="s">
        <v>468</v>
      </c>
      <c r="D426" t="s">
        <v>106</v>
      </c>
      <c r="E426" t="s">
        <v>195</v>
      </c>
      <c r="F426" t="s">
        <v>373</v>
      </c>
      <c r="G426">
        <v>103072</v>
      </c>
    </row>
    <row r="427" spans="1:7" x14ac:dyDescent="0.35">
      <c r="A427">
        <v>2024</v>
      </c>
      <c r="B427">
        <v>7</v>
      </c>
      <c r="C427" t="s">
        <v>468</v>
      </c>
      <c r="D427" t="s">
        <v>75</v>
      </c>
      <c r="E427" t="s">
        <v>204</v>
      </c>
      <c r="F427" t="s">
        <v>383</v>
      </c>
      <c r="G427">
        <v>0</v>
      </c>
    </row>
    <row r="428" spans="1:7" x14ac:dyDescent="0.35">
      <c r="A428">
        <v>2024</v>
      </c>
      <c r="B428">
        <v>7</v>
      </c>
      <c r="C428" t="s">
        <v>468</v>
      </c>
      <c r="D428" t="s">
        <v>23</v>
      </c>
      <c r="E428" t="s">
        <v>206</v>
      </c>
      <c r="F428" t="s">
        <v>385</v>
      </c>
      <c r="G428">
        <v>4827</v>
      </c>
    </row>
    <row r="429" spans="1:7" x14ac:dyDescent="0.35">
      <c r="A429">
        <v>2024</v>
      </c>
      <c r="B429">
        <v>7</v>
      </c>
      <c r="C429" t="s">
        <v>468</v>
      </c>
      <c r="D429" t="s">
        <v>24</v>
      </c>
      <c r="E429" t="s">
        <v>207</v>
      </c>
      <c r="F429" t="s">
        <v>386</v>
      </c>
      <c r="G429">
        <v>40459</v>
      </c>
    </row>
    <row r="430" spans="1:7" x14ac:dyDescent="0.35">
      <c r="A430">
        <v>2024</v>
      </c>
      <c r="B430">
        <v>7</v>
      </c>
      <c r="C430" t="s">
        <v>468</v>
      </c>
      <c r="D430" t="s">
        <v>519</v>
      </c>
      <c r="E430" t="s">
        <v>202</v>
      </c>
      <c r="F430" t="s">
        <v>380</v>
      </c>
      <c r="G430">
        <v>2600</v>
      </c>
    </row>
    <row r="431" spans="1:7" x14ac:dyDescent="0.35">
      <c r="A431">
        <v>2024</v>
      </c>
      <c r="B431">
        <v>7</v>
      </c>
      <c r="C431" t="s">
        <v>468</v>
      </c>
      <c r="D431" t="s">
        <v>519</v>
      </c>
      <c r="E431" t="s">
        <v>203</v>
      </c>
      <c r="F431" t="s">
        <v>381</v>
      </c>
      <c r="G431">
        <v>2263.9699999999998</v>
      </c>
    </row>
    <row r="432" spans="1:7" x14ac:dyDescent="0.35">
      <c r="A432">
        <v>2024</v>
      </c>
      <c r="B432">
        <v>7</v>
      </c>
      <c r="C432" t="s">
        <v>468</v>
      </c>
      <c r="D432" t="s">
        <v>519</v>
      </c>
      <c r="E432" t="s">
        <v>196</v>
      </c>
      <c r="F432" t="s">
        <v>382</v>
      </c>
      <c r="G432">
        <v>1.35</v>
      </c>
    </row>
    <row r="433" spans="1:7" x14ac:dyDescent="0.35">
      <c r="A433">
        <v>2024</v>
      </c>
      <c r="B433">
        <v>7</v>
      </c>
      <c r="C433" t="s">
        <v>468</v>
      </c>
      <c r="D433" t="s">
        <v>520</v>
      </c>
      <c r="E433" t="s">
        <v>241</v>
      </c>
      <c r="F433" t="s">
        <v>420</v>
      </c>
      <c r="G433">
        <v>744</v>
      </c>
    </row>
    <row r="434" spans="1:7" x14ac:dyDescent="0.35">
      <c r="A434">
        <v>2024</v>
      </c>
      <c r="B434">
        <v>7</v>
      </c>
      <c r="C434" t="s">
        <v>468</v>
      </c>
      <c r="D434" t="s">
        <v>520</v>
      </c>
      <c r="E434" t="s">
        <v>208</v>
      </c>
      <c r="F434" t="s">
        <v>387</v>
      </c>
      <c r="G434">
        <v>5</v>
      </c>
    </row>
    <row r="435" spans="1:7" x14ac:dyDescent="0.35">
      <c r="A435">
        <v>2024</v>
      </c>
      <c r="B435">
        <v>7</v>
      </c>
      <c r="C435" t="s">
        <v>468</v>
      </c>
      <c r="D435" t="s">
        <v>520</v>
      </c>
      <c r="E435" t="s">
        <v>134</v>
      </c>
      <c r="F435" t="s">
        <v>315</v>
      </c>
      <c r="G435">
        <v>7352</v>
      </c>
    </row>
    <row r="436" spans="1:7" x14ac:dyDescent="0.35">
      <c r="A436">
        <v>2024</v>
      </c>
      <c r="B436">
        <v>7</v>
      </c>
      <c r="C436" t="s">
        <v>468</v>
      </c>
      <c r="D436" t="s">
        <v>520</v>
      </c>
      <c r="E436" t="s">
        <v>196</v>
      </c>
      <c r="F436" t="s">
        <v>374</v>
      </c>
      <c r="G436">
        <v>3</v>
      </c>
    </row>
    <row r="437" spans="1:7" x14ac:dyDescent="0.35">
      <c r="A437">
        <v>2024</v>
      </c>
      <c r="B437">
        <v>7</v>
      </c>
      <c r="C437" t="s">
        <v>468</v>
      </c>
      <c r="D437" t="s">
        <v>520</v>
      </c>
      <c r="E437" t="s">
        <v>198</v>
      </c>
      <c r="F437" t="s">
        <v>376</v>
      </c>
      <c r="G437">
        <v>4103</v>
      </c>
    </row>
    <row r="438" spans="1:7" x14ac:dyDescent="0.35">
      <c r="A438">
        <v>2024</v>
      </c>
      <c r="B438">
        <v>7</v>
      </c>
      <c r="C438" t="s">
        <v>468</v>
      </c>
      <c r="D438" t="s">
        <v>520</v>
      </c>
      <c r="E438" t="s">
        <v>199</v>
      </c>
      <c r="F438" t="s">
        <v>377</v>
      </c>
      <c r="G438">
        <v>112</v>
      </c>
    </row>
    <row r="439" spans="1:7" x14ac:dyDescent="0.35">
      <c r="A439">
        <v>2024</v>
      </c>
      <c r="B439">
        <v>7</v>
      </c>
      <c r="C439" t="s">
        <v>468</v>
      </c>
      <c r="D439" t="s">
        <v>520</v>
      </c>
      <c r="E439" t="s">
        <v>200</v>
      </c>
      <c r="F439" t="s">
        <v>378</v>
      </c>
      <c r="G439">
        <v>2951</v>
      </c>
    </row>
    <row r="440" spans="1:7" x14ac:dyDescent="0.35">
      <c r="A440">
        <v>2024</v>
      </c>
      <c r="B440">
        <v>7</v>
      </c>
      <c r="C440" t="s">
        <v>468</v>
      </c>
      <c r="D440" t="s">
        <v>520</v>
      </c>
      <c r="E440" t="s">
        <v>201</v>
      </c>
      <c r="F440" t="s">
        <v>379</v>
      </c>
      <c r="G440">
        <v>1403</v>
      </c>
    </row>
    <row r="441" spans="1:7" x14ac:dyDescent="0.35">
      <c r="A441">
        <v>2024</v>
      </c>
      <c r="B441">
        <v>7</v>
      </c>
      <c r="C441" t="s">
        <v>468</v>
      </c>
      <c r="D441" t="s">
        <v>33</v>
      </c>
      <c r="E441" t="s">
        <v>209</v>
      </c>
      <c r="F441" t="s">
        <v>388</v>
      </c>
      <c r="G441">
        <v>2953</v>
      </c>
    </row>
    <row r="442" spans="1:7" x14ac:dyDescent="0.35">
      <c r="A442">
        <v>2024</v>
      </c>
      <c r="B442">
        <v>7</v>
      </c>
      <c r="C442" t="s">
        <v>468</v>
      </c>
      <c r="D442" t="s">
        <v>12</v>
      </c>
      <c r="E442" t="s">
        <v>210</v>
      </c>
      <c r="F442" t="s">
        <v>389</v>
      </c>
      <c r="G442">
        <v>5803</v>
      </c>
    </row>
    <row r="443" spans="1:7" x14ac:dyDescent="0.35">
      <c r="A443">
        <v>2024</v>
      </c>
      <c r="B443">
        <v>7</v>
      </c>
      <c r="C443" t="s">
        <v>468</v>
      </c>
      <c r="D443" t="s">
        <v>12</v>
      </c>
      <c r="E443" t="s">
        <v>211</v>
      </c>
      <c r="F443" t="s">
        <v>390</v>
      </c>
      <c r="G443">
        <v>1341</v>
      </c>
    </row>
    <row r="444" spans="1:7" x14ac:dyDescent="0.35">
      <c r="A444">
        <v>2024</v>
      </c>
      <c r="B444">
        <v>7</v>
      </c>
      <c r="C444" t="s">
        <v>468</v>
      </c>
      <c r="D444" t="s">
        <v>12</v>
      </c>
      <c r="E444" t="s">
        <v>272</v>
      </c>
      <c r="F444" t="s">
        <v>452</v>
      </c>
      <c r="G444">
        <v>2073</v>
      </c>
    </row>
    <row r="445" spans="1:7" x14ac:dyDescent="0.35">
      <c r="A445">
        <v>2024</v>
      </c>
      <c r="B445">
        <v>7</v>
      </c>
      <c r="C445" t="s">
        <v>468</v>
      </c>
      <c r="D445" t="s">
        <v>12</v>
      </c>
      <c r="E445" t="s">
        <v>212</v>
      </c>
      <c r="F445" t="s">
        <v>391</v>
      </c>
      <c r="G445">
        <v>6161</v>
      </c>
    </row>
    <row r="446" spans="1:7" x14ac:dyDescent="0.35">
      <c r="A446">
        <v>2024</v>
      </c>
      <c r="B446">
        <v>7</v>
      </c>
      <c r="C446" t="s">
        <v>468</v>
      </c>
      <c r="D446" t="s">
        <v>12</v>
      </c>
      <c r="E446" t="s">
        <v>273</v>
      </c>
      <c r="F446" t="s">
        <v>453</v>
      </c>
      <c r="G446">
        <v>3591</v>
      </c>
    </row>
    <row r="447" spans="1:7" x14ac:dyDescent="0.35">
      <c r="A447">
        <v>2024</v>
      </c>
      <c r="B447">
        <v>7</v>
      </c>
      <c r="C447" t="s">
        <v>468</v>
      </c>
      <c r="D447" t="s">
        <v>12</v>
      </c>
      <c r="E447" t="s">
        <v>213</v>
      </c>
      <c r="F447" t="s">
        <v>392</v>
      </c>
      <c r="G447">
        <v>11922</v>
      </c>
    </row>
    <row r="448" spans="1:7" x14ac:dyDescent="0.35">
      <c r="A448">
        <v>2024</v>
      </c>
      <c r="B448">
        <v>7</v>
      </c>
      <c r="C448" t="s">
        <v>468</v>
      </c>
      <c r="D448" t="s">
        <v>12</v>
      </c>
      <c r="E448" t="s">
        <v>299</v>
      </c>
      <c r="F448" t="s">
        <v>393</v>
      </c>
      <c r="G448">
        <v>18089</v>
      </c>
    </row>
    <row r="449" spans="1:7" x14ac:dyDescent="0.35">
      <c r="A449">
        <v>2024</v>
      </c>
      <c r="B449">
        <v>7</v>
      </c>
      <c r="C449" t="s">
        <v>468</v>
      </c>
      <c r="D449" t="s">
        <v>12</v>
      </c>
      <c r="E449" t="s">
        <v>214</v>
      </c>
      <c r="F449" t="s">
        <v>394</v>
      </c>
      <c r="G449">
        <v>2470</v>
      </c>
    </row>
    <row r="450" spans="1:7" x14ac:dyDescent="0.35">
      <c r="A450">
        <v>2024</v>
      </c>
      <c r="B450">
        <v>7</v>
      </c>
      <c r="C450" t="s">
        <v>468</v>
      </c>
      <c r="D450" t="s">
        <v>12</v>
      </c>
      <c r="E450" t="s">
        <v>215</v>
      </c>
      <c r="F450" t="s">
        <v>395</v>
      </c>
      <c r="G450">
        <v>3331</v>
      </c>
    </row>
    <row r="451" spans="1:7" x14ac:dyDescent="0.35">
      <c r="A451">
        <v>2024</v>
      </c>
      <c r="B451">
        <v>7</v>
      </c>
      <c r="C451" t="s">
        <v>468</v>
      </c>
      <c r="D451" t="s">
        <v>12</v>
      </c>
      <c r="E451" t="s">
        <v>216</v>
      </c>
      <c r="F451" t="s">
        <v>396</v>
      </c>
      <c r="G451">
        <v>24283</v>
      </c>
    </row>
    <row r="452" spans="1:7" x14ac:dyDescent="0.35">
      <c r="A452">
        <v>2024</v>
      </c>
      <c r="B452">
        <v>7</v>
      </c>
      <c r="C452" t="s">
        <v>468</v>
      </c>
      <c r="D452" t="s">
        <v>12</v>
      </c>
      <c r="E452" t="s">
        <v>217</v>
      </c>
      <c r="F452" t="s">
        <v>397</v>
      </c>
      <c r="G452">
        <v>5356</v>
      </c>
    </row>
    <row r="453" spans="1:7" x14ac:dyDescent="0.35">
      <c r="A453">
        <v>2024</v>
      </c>
      <c r="B453">
        <v>7</v>
      </c>
      <c r="C453" t="s">
        <v>468</v>
      </c>
      <c r="D453" t="s">
        <v>12</v>
      </c>
      <c r="E453" t="s">
        <v>218</v>
      </c>
      <c r="F453" t="s">
        <v>398</v>
      </c>
      <c r="G453">
        <v>13002</v>
      </c>
    </row>
    <row r="454" spans="1:7" x14ac:dyDescent="0.35">
      <c r="A454">
        <v>2024</v>
      </c>
      <c r="B454">
        <v>7</v>
      </c>
      <c r="C454" t="s">
        <v>468</v>
      </c>
      <c r="D454" t="s">
        <v>12</v>
      </c>
      <c r="E454" t="s">
        <v>219</v>
      </c>
      <c r="F454" t="s">
        <v>399</v>
      </c>
      <c r="G454">
        <v>8165</v>
      </c>
    </row>
    <row r="455" spans="1:7" x14ac:dyDescent="0.35">
      <c r="A455">
        <v>2024</v>
      </c>
      <c r="B455">
        <v>7</v>
      </c>
      <c r="C455" t="s">
        <v>468</v>
      </c>
      <c r="D455" t="s">
        <v>12</v>
      </c>
      <c r="E455" t="s">
        <v>220</v>
      </c>
      <c r="F455" t="s">
        <v>400</v>
      </c>
      <c r="G455">
        <v>3410</v>
      </c>
    </row>
    <row r="456" spans="1:7" x14ac:dyDescent="0.35">
      <c r="A456">
        <v>2024</v>
      </c>
      <c r="B456">
        <v>7</v>
      </c>
      <c r="C456" t="s">
        <v>468</v>
      </c>
      <c r="D456" t="s">
        <v>12</v>
      </c>
      <c r="E456" t="s">
        <v>221</v>
      </c>
      <c r="F456" t="s">
        <v>401</v>
      </c>
      <c r="G456">
        <v>6696</v>
      </c>
    </row>
    <row r="457" spans="1:7" x14ac:dyDescent="0.35">
      <c r="A457">
        <v>2024</v>
      </c>
      <c r="B457">
        <v>7</v>
      </c>
      <c r="C457" t="s">
        <v>468</v>
      </c>
      <c r="D457" t="s">
        <v>12</v>
      </c>
      <c r="E457" t="s">
        <v>222</v>
      </c>
      <c r="F457" t="s">
        <v>402</v>
      </c>
      <c r="G457">
        <v>6153</v>
      </c>
    </row>
    <row r="458" spans="1:7" x14ac:dyDescent="0.35">
      <c r="A458">
        <v>2024</v>
      </c>
      <c r="B458">
        <v>7</v>
      </c>
      <c r="C458" t="s">
        <v>468</v>
      </c>
      <c r="D458" t="s">
        <v>28</v>
      </c>
      <c r="E458" t="s">
        <v>223</v>
      </c>
      <c r="F458" t="s">
        <v>403</v>
      </c>
      <c r="G458">
        <v>19596</v>
      </c>
    </row>
    <row r="459" spans="1:7" x14ac:dyDescent="0.35">
      <c r="A459">
        <v>2024</v>
      </c>
      <c r="B459">
        <v>7</v>
      </c>
      <c r="C459" t="s">
        <v>468</v>
      </c>
      <c r="D459" t="s">
        <v>28</v>
      </c>
      <c r="E459" t="s">
        <v>224</v>
      </c>
      <c r="F459" t="s">
        <v>404</v>
      </c>
      <c r="G459">
        <v>9035</v>
      </c>
    </row>
    <row r="460" spans="1:7" x14ac:dyDescent="0.35">
      <c r="A460">
        <v>2024</v>
      </c>
      <c r="B460">
        <v>7</v>
      </c>
      <c r="C460" t="s">
        <v>468</v>
      </c>
      <c r="D460" t="s">
        <v>64</v>
      </c>
      <c r="E460" t="s">
        <v>225</v>
      </c>
      <c r="F460" t="s">
        <v>405</v>
      </c>
      <c r="G460">
        <v>16168</v>
      </c>
    </row>
    <row r="461" spans="1:7" x14ac:dyDescent="0.35">
      <c r="A461">
        <v>2024</v>
      </c>
      <c r="B461">
        <v>7</v>
      </c>
      <c r="C461" t="s">
        <v>468</v>
      </c>
      <c r="D461" t="s">
        <v>29</v>
      </c>
      <c r="E461" t="s">
        <v>226</v>
      </c>
      <c r="F461" t="s">
        <v>406</v>
      </c>
      <c r="G461">
        <v>904</v>
      </c>
    </row>
    <row r="462" spans="1:7" x14ac:dyDescent="0.35">
      <c r="A462">
        <v>2024</v>
      </c>
      <c r="B462">
        <v>7</v>
      </c>
      <c r="C462" t="s">
        <v>468</v>
      </c>
      <c r="D462" t="s">
        <v>102</v>
      </c>
      <c r="E462" t="s">
        <v>227</v>
      </c>
      <c r="F462" t="s">
        <v>407</v>
      </c>
      <c r="G462">
        <v>-12109</v>
      </c>
    </row>
    <row r="463" spans="1:7" x14ac:dyDescent="0.35">
      <c r="A463">
        <v>2024</v>
      </c>
      <c r="B463">
        <v>7</v>
      </c>
      <c r="C463" t="s">
        <v>468</v>
      </c>
      <c r="D463" t="s">
        <v>25</v>
      </c>
      <c r="E463" t="s">
        <v>274</v>
      </c>
      <c r="F463" t="s">
        <v>454</v>
      </c>
      <c r="G463">
        <v>175096</v>
      </c>
    </row>
    <row r="464" spans="1:7" x14ac:dyDescent="0.35">
      <c r="A464">
        <v>2024</v>
      </c>
      <c r="B464">
        <v>7</v>
      </c>
      <c r="C464" t="s">
        <v>468</v>
      </c>
      <c r="D464" t="s">
        <v>229</v>
      </c>
      <c r="E464" t="s">
        <v>230</v>
      </c>
      <c r="F464" t="s">
        <v>409</v>
      </c>
      <c r="G464">
        <v>-631409</v>
      </c>
    </row>
    <row r="465" spans="1:7" x14ac:dyDescent="0.35">
      <c r="A465">
        <v>2024</v>
      </c>
      <c r="B465">
        <v>7</v>
      </c>
      <c r="C465" t="s">
        <v>468</v>
      </c>
      <c r="D465" t="s">
        <v>13</v>
      </c>
      <c r="E465" t="s">
        <v>232</v>
      </c>
      <c r="F465" t="s">
        <v>411</v>
      </c>
      <c r="G465">
        <v>228</v>
      </c>
    </row>
    <row r="466" spans="1:7" x14ac:dyDescent="0.35">
      <c r="A466">
        <v>2024</v>
      </c>
      <c r="B466">
        <v>7</v>
      </c>
      <c r="C466" t="s">
        <v>468</v>
      </c>
      <c r="D466" t="s">
        <v>94</v>
      </c>
      <c r="E466" t="s">
        <v>233</v>
      </c>
      <c r="F466" t="s">
        <v>412</v>
      </c>
      <c r="G466">
        <v>30300</v>
      </c>
    </row>
    <row r="467" spans="1:7" x14ac:dyDescent="0.35">
      <c r="A467">
        <v>2024</v>
      </c>
      <c r="B467">
        <v>7</v>
      </c>
      <c r="C467" t="s">
        <v>468</v>
      </c>
      <c r="D467" t="s">
        <v>36</v>
      </c>
      <c r="E467" t="s">
        <v>275</v>
      </c>
      <c r="F467" t="s">
        <v>455</v>
      </c>
      <c r="G467">
        <v>9247</v>
      </c>
    </row>
    <row r="468" spans="1:7" x14ac:dyDescent="0.35">
      <c r="A468">
        <v>2024</v>
      </c>
      <c r="B468">
        <v>7</v>
      </c>
      <c r="C468" t="s">
        <v>468</v>
      </c>
      <c r="D468" t="s">
        <v>40</v>
      </c>
      <c r="E468" t="s">
        <v>235</v>
      </c>
      <c r="F468" t="s">
        <v>414</v>
      </c>
      <c r="G468">
        <v>3473</v>
      </c>
    </row>
    <row r="469" spans="1:7" x14ac:dyDescent="0.35">
      <c r="A469">
        <v>2024</v>
      </c>
      <c r="B469">
        <v>7</v>
      </c>
      <c r="C469" t="s">
        <v>468</v>
      </c>
      <c r="D469" t="s">
        <v>45</v>
      </c>
      <c r="E469" t="s">
        <v>276</v>
      </c>
      <c r="F469" t="s">
        <v>456</v>
      </c>
      <c r="G469">
        <v>35355</v>
      </c>
    </row>
    <row r="470" spans="1:7" x14ac:dyDescent="0.35">
      <c r="A470">
        <v>2024</v>
      </c>
      <c r="B470">
        <v>7</v>
      </c>
      <c r="C470" t="s">
        <v>468</v>
      </c>
      <c r="D470" t="s">
        <v>76</v>
      </c>
      <c r="E470" t="s">
        <v>236</v>
      </c>
      <c r="F470" t="s">
        <v>415</v>
      </c>
      <c r="G470">
        <v>-4555338</v>
      </c>
    </row>
    <row r="471" spans="1:7" x14ac:dyDescent="0.35">
      <c r="A471">
        <v>2024</v>
      </c>
      <c r="B471">
        <v>7</v>
      </c>
      <c r="C471" t="s">
        <v>468</v>
      </c>
      <c r="D471" t="s">
        <v>76</v>
      </c>
      <c r="E471" t="s">
        <v>237</v>
      </c>
      <c r="F471" t="s">
        <v>416</v>
      </c>
      <c r="G471">
        <v>-12108.59</v>
      </c>
    </row>
    <row r="472" spans="1:7" x14ac:dyDescent="0.35">
      <c r="A472">
        <v>2024</v>
      </c>
      <c r="B472">
        <v>7</v>
      </c>
      <c r="C472" t="s">
        <v>468</v>
      </c>
      <c r="D472" t="s">
        <v>76</v>
      </c>
      <c r="E472" t="s">
        <v>238</v>
      </c>
      <c r="F472" t="s">
        <v>417</v>
      </c>
      <c r="G472">
        <v>-31464.12</v>
      </c>
    </row>
    <row r="473" spans="1:7" x14ac:dyDescent="0.35">
      <c r="A473">
        <v>2024</v>
      </c>
      <c r="B473">
        <v>7</v>
      </c>
      <c r="C473" t="s">
        <v>468</v>
      </c>
      <c r="D473" t="s">
        <v>76</v>
      </c>
      <c r="E473" t="s">
        <v>239</v>
      </c>
      <c r="F473" t="s">
        <v>418</v>
      </c>
      <c r="G473">
        <v>6853672.0199999996</v>
      </c>
    </row>
    <row r="474" spans="1:7" x14ac:dyDescent="0.35">
      <c r="A474">
        <v>2024</v>
      </c>
      <c r="B474">
        <v>7</v>
      </c>
      <c r="C474" t="s">
        <v>468</v>
      </c>
      <c r="D474" t="s">
        <v>35</v>
      </c>
      <c r="E474" t="s">
        <v>240</v>
      </c>
      <c r="F474" t="s">
        <v>419</v>
      </c>
      <c r="G474">
        <v>69283</v>
      </c>
    </row>
    <row r="475" spans="1:7" x14ac:dyDescent="0.35">
      <c r="A475">
        <v>2024</v>
      </c>
      <c r="B475">
        <v>7</v>
      </c>
      <c r="C475" t="s">
        <v>468</v>
      </c>
      <c r="D475" t="s">
        <v>103</v>
      </c>
      <c r="E475" t="s">
        <v>242</v>
      </c>
      <c r="F475" t="s">
        <v>421</v>
      </c>
      <c r="G475">
        <v>-31464</v>
      </c>
    </row>
    <row r="476" spans="1:7" x14ac:dyDescent="0.35">
      <c r="A476">
        <v>2024</v>
      </c>
      <c r="B476">
        <v>7</v>
      </c>
      <c r="C476" t="s">
        <v>468</v>
      </c>
      <c r="D476" t="s">
        <v>104</v>
      </c>
      <c r="E476" t="s">
        <v>243</v>
      </c>
      <c r="F476" t="s">
        <v>422</v>
      </c>
      <c r="G476">
        <v>6853672</v>
      </c>
    </row>
    <row r="477" spans="1:7" x14ac:dyDescent="0.35">
      <c r="A477">
        <v>2024</v>
      </c>
      <c r="B477">
        <v>7</v>
      </c>
      <c r="C477" t="s">
        <v>468</v>
      </c>
      <c r="D477" t="s">
        <v>244</v>
      </c>
      <c r="E477" t="s">
        <v>245</v>
      </c>
      <c r="F477" t="s">
        <v>423</v>
      </c>
      <c r="G477">
        <v>1083012</v>
      </c>
    </row>
    <row r="478" spans="1:7" x14ac:dyDescent="0.35">
      <c r="A478">
        <v>2024</v>
      </c>
      <c r="B478">
        <v>7</v>
      </c>
      <c r="C478" t="s">
        <v>468</v>
      </c>
      <c r="D478" t="s">
        <v>100</v>
      </c>
      <c r="E478" t="s">
        <v>246</v>
      </c>
      <c r="F478" t="s">
        <v>424</v>
      </c>
      <c r="G478">
        <v>-47422</v>
      </c>
    </row>
    <row r="479" spans="1:7" x14ac:dyDescent="0.35">
      <c r="A479">
        <v>2024</v>
      </c>
      <c r="B479">
        <v>7</v>
      </c>
      <c r="C479" t="s">
        <v>468</v>
      </c>
      <c r="D479" t="s">
        <v>14</v>
      </c>
      <c r="E479" t="s">
        <v>131</v>
      </c>
      <c r="F479" t="s">
        <v>425</v>
      </c>
      <c r="G479">
        <v>105953</v>
      </c>
    </row>
    <row r="480" spans="1:7" x14ac:dyDescent="0.35">
      <c r="A480">
        <v>2024</v>
      </c>
      <c r="B480">
        <v>7</v>
      </c>
      <c r="C480" t="s">
        <v>468</v>
      </c>
      <c r="D480" t="s">
        <v>30</v>
      </c>
      <c r="E480" t="s">
        <v>247</v>
      </c>
      <c r="F480" t="s">
        <v>426</v>
      </c>
      <c r="G480">
        <v>15636</v>
      </c>
    </row>
    <row r="481" spans="1:7" x14ac:dyDescent="0.35">
      <c r="A481">
        <v>2024</v>
      </c>
      <c r="B481">
        <v>7</v>
      </c>
      <c r="C481" t="s">
        <v>468</v>
      </c>
      <c r="D481" t="s">
        <v>15</v>
      </c>
      <c r="E481" t="s">
        <v>248</v>
      </c>
      <c r="F481" t="s">
        <v>427</v>
      </c>
      <c r="G481">
        <v>32886</v>
      </c>
    </row>
    <row r="482" spans="1:7" x14ac:dyDescent="0.35">
      <c r="A482">
        <v>2024</v>
      </c>
      <c r="B482">
        <v>7</v>
      </c>
      <c r="C482" t="s">
        <v>468</v>
      </c>
      <c r="D482" t="s">
        <v>90</v>
      </c>
      <c r="E482" t="s">
        <v>277</v>
      </c>
      <c r="F482" t="s">
        <v>457</v>
      </c>
      <c r="G482">
        <v>84132.23</v>
      </c>
    </row>
    <row r="483" spans="1:7" x14ac:dyDescent="0.35">
      <c r="A483">
        <v>2024</v>
      </c>
      <c r="B483">
        <v>7</v>
      </c>
      <c r="C483" t="s">
        <v>468</v>
      </c>
      <c r="D483" t="s">
        <v>90</v>
      </c>
      <c r="E483" t="s">
        <v>249</v>
      </c>
      <c r="F483" t="s">
        <v>428</v>
      </c>
      <c r="G483">
        <v>364790.95</v>
      </c>
    </row>
    <row r="484" spans="1:7" x14ac:dyDescent="0.35">
      <c r="A484">
        <v>2024</v>
      </c>
      <c r="B484">
        <v>7</v>
      </c>
      <c r="C484" t="s">
        <v>468</v>
      </c>
      <c r="D484" t="s">
        <v>84</v>
      </c>
      <c r="E484" t="s">
        <v>250</v>
      </c>
      <c r="F484" t="s">
        <v>429</v>
      </c>
      <c r="G484">
        <v>2704678.85</v>
      </c>
    </row>
    <row r="485" spans="1:7" x14ac:dyDescent="0.35">
      <c r="A485">
        <v>2024</v>
      </c>
      <c r="B485">
        <v>7</v>
      </c>
      <c r="C485" t="s">
        <v>468</v>
      </c>
      <c r="D485" t="s">
        <v>81</v>
      </c>
      <c r="E485" t="s">
        <v>251</v>
      </c>
      <c r="F485" t="s">
        <v>430</v>
      </c>
      <c r="G485">
        <v>1148808</v>
      </c>
    </row>
    <row r="486" spans="1:7" x14ac:dyDescent="0.35">
      <c r="A486">
        <v>2024</v>
      </c>
      <c r="B486">
        <v>7</v>
      </c>
      <c r="C486" t="s">
        <v>468</v>
      </c>
      <c r="D486" t="s">
        <v>81</v>
      </c>
      <c r="E486" t="s">
        <v>252</v>
      </c>
      <c r="F486" t="s">
        <v>431</v>
      </c>
      <c r="G486">
        <v>1640186.19</v>
      </c>
    </row>
    <row r="487" spans="1:7" x14ac:dyDescent="0.35">
      <c r="A487">
        <v>2024</v>
      </c>
      <c r="B487">
        <v>7</v>
      </c>
      <c r="C487" t="s">
        <v>468</v>
      </c>
      <c r="D487" t="s">
        <v>81</v>
      </c>
      <c r="E487" t="s">
        <v>289</v>
      </c>
      <c r="F487" t="s">
        <v>471</v>
      </c>
      <c r="G487">
        <v>856475.9</v>
      </c>
    </row>
    <row r="488" spans="1:7" x14ac:dyDescent="0.35">
      <c r="A488">
        <v>2024</v>
      </c>
      <c r="B488">
        <v>7</v>
      </c>
      <c r="C488" t="s">
        <v>468</v>
      </c>
      <c r="D488" t="s">
        <v>44</v>
      </c>
      <c r="E488" t="s">
        <v>253</v>
      </c>
      <c r="F488" t="s">
        <v>432</v>
      </c>
      <c r="G488">
        <v>69851</v>
      </c>
    </row>
    <row r="489" spans="1:7" x14ac:dyDescent="0.35">
      <c r="A489">
        <v>2024</v>
      </c>
      <c r="B489">
        <v>7</v>
      </c>
      <c r="C489" t="s">
        <v>468</v>
      </c>
      <c r="D489" t="s">
        <v>16</v>
      </c>
      <c r="E489" t="s">
        <v>254</v>
      </c>
      <c r="F489" t="s">
        <v>433</v>
      </c>
      <c r="G489">
        <v>25067</v>
      </c>
    </row>
    <row r="490" spans="1:7" x14ac:dyDescent="0.35">
      <c r="A490">
        <v>2024</v>
      </c>
      <c r="B490">
        <v>7</v>
      </c>
      <c r="C490" t="s">
        <v>468</v>
      </c>
      <c r="D490" t="s">
        <v>17</v>
      </c>
      <c r="E490" t="s">
        <v>255</v>
      </c>
      <c r="F490" t="s">
        <v>434</v>
      </c>
      <c r="G490">
        <v>12764</v>
      </c>
    </row>
    <row r="491" spans="1:7" x14ac:dyDescent="0.35">
      <c r="A491">
        <v>2024</v>
      </c>
      <c r="B491">
        <v>7</v>
      </c>
      <c r="C491" t="s">
        <v>468</v>
      </c>
      <c r="D491" t="s">
        <v>37</v>
      </c>
      <c r="E491" t="s">
        <v>256</v>
      </c>
      <c r="F491" t="s">
        <v>435</v>
      </c>
      <c r="G491">
        <v>-23471.7</v>
      </c>
    </row>
    <row r="492" spans="1:7" x14ac:dyDescent="0.35">
      <c r="A492">
        <v>2024</v>
      </c>
      <c r="B492">
        <v>7</v>
      </c>
      <c r="C492" t="s">
        <v>468</v>
      </c>
      <c r="D492" t="s">
        <v>37</v>
      </c>
      <c r="E492" t="s">
        <v>257</v>
      </c>
      <c r="F492" t="s">
        <v>436</v>
      </c>
      <c r="G492">
        <v>-3065961.38</v>
      </c>
    </row>
    <row r="493" spans="1:7" x14ac:dyDescent="0.35">
      <c r="A493">
        <v>2024</v>
      </c>
      <c r="B493">
        <v>7</v>
      </c>
      <c r="C493" t="s">
        <v>468</v>
      </c>
      <c r="D493" t="s">
        <v>37</v>
      </c>
      <c r="E493" t="s">
        <v>290</v>
      </c>
      <c r="F493" t="s">
        <v>472</v>
      </c>
      <c r="G493">
        <v>-47421.57</v>
      </c>
    </row>
    <row r="494" spans="1:7" x14ac:dyDescent="0.35">
      <c r="A494">
        <v>2024</v>
      </c>
      <c r="B494">
        <v>7</v>
      </c>
      <c r="C494" t="s">
        <v>468</v>
      </c>
      <c r="D494" t="s">
        <v>18</v>
      </c>
      <c r="E494" t="s">
        <v>259</v>
      </c>
      <c r="F494" t="s">
        <v>438</v>
      </c>
      <c r="G494">
        <v>5530</v>
      </c>
    </row>
    <row r="495" spans="1:7" x14ac:dyDescent="0.35">
      <c r="A495">
        <v>2024</v>
      </c>
      <c r="B495">
        <v>8</v>
      </c>
      <c r="C495" t="s">
        <v>473</v>
      </c>
      <c r="E495" t="s">
        <v>291</v>
      </c>
      <c r="F495" t="s">
        <v>474</v>
      </c>
      <c r="G495">
        <v>4798</v>
      </c>
    </row>
    <row r="496" spans="1:7" x14ac:dyDescent="0.35">
      <c r="A496">
        <v>2024</v>
      </c>
      <c r="B496">
        <v>8</v>
      </c>
      <c r="C496" t="s">
        <v>473</v>
      </c>
      <c r="D496" t="s">
        <v>59</v>
      </c>
      <c r="E496" t="s">
        <v>133</v>
      </c>
      <c r="F496" t="s">
        <v>313</v>
      </c>
      <c r="G496">
        <v>16577</v>
      </c>
    </row>
    <row r="497" spans="1:7" x14ac:dyDescent="0.35">
      <c r="A497">
        <v>2024</v>
      </c>
      <c r="B497">
        <v>8</v>
      </c>
      <c r="C497" t="s">
        <v>473</v>
      </c>
      <c r="D497" t="s">
        <v>38</v>
      </c>
      <c r="E497" t="s">
        <v>122</v>
      </c>
      <c r="F497" t="s">
        <v>314</v>
      </c>
      <c r="G497">
        <v>3970</v>
      </c>
    </row>
    <row r="498" spans="1:7" x14ac:dyDescent="0.35">
      <c r="A498">
        <v>2024</v>
      </c>
      <c r="B498">
        <v>8</v>
      </c>
      <c r="C498" t="s">
        <v>473</v>
      </c>
      <c r="D498" t="s">
        <v>6</v>
      </c>
      <c r="E498" t="s">
        <v>135</v>
      </c>
      <c r="F498" t="s">
        <v>316</v>
      </c>
      <c r="G498">
        <v>14125</v>
      </c>
    </row>
    <row r="499" spans="1:7" x14ac:dyDescent="0.35">
      <c r="A499">
        <v>2024</v>
      </c>
      <c r="B499">
        <v>8</v>
      </c>
      <c r="C499" t="s">
        <v>473</v>
      </c>
      <c r="D499" t="s">
        <v>6</v>
      </c>
      <c r="E499" t="s">
        <v>136</v>
      </c>
      <c r="F499" t="s">
        <v>317</v>
      </c>
      <c r="G499">
        <v>74477</v>
      </c>
    </row>
    <row r="500" spans="1:7" x14ac:dyDescent="0.35">
      <c r="A500">
        <v>2024</v>
      </c>
      <c r="B500">
        <v>8</v>
      </c>
      <c r="C500" t="s">
        <v>473</v>
      </c>
      <c r="D500" t="s">
        <v>6</v>
      </c>
      <c r="E500" t="s">
        <v>137</v>
      </c>
      <c r="F500" t="s">
        <v>318</v>
      </c>
      <c r="G500">
        <v>14503</v>
      </c>
    </row>
    <row r="501" spans="1:7" x14ac:dyDescent="0.35">
      <c r="A501">
        <v>2024</v>
      </c>
      <c r="B501">
        <v>8</v>
      </c>
      <c r="C501" t="s">
        <v>473</v>
      </c>
      <c r="D501" t="s">
        <v>62</v>
      </c>
      <c r="E501" t="s">
        <v>139</v>
      </c>
      <c r="F501" t="s">
        <v>320</v>
      </c>
      <c r="G501">
        <v>271</v>
      </c>
    </row>
    <row r="502" spans="1:7" x14ac:dyDescent="0.35">
      <c r="A502">
        <v>2024</v>
      </c>
      <c r="B502">
        <v>8</v>
      </c>
      <c r="C502" t="s">
        <v>473</v>
      </c>
      <c r="D502" t="s">
        <v>31</v>
      </c>
      <c r="E502" t="s">
        <v>143</v>
      </c>
      <c r="F502" t="s">
        <v>324</v>
      </c>
      <c r="G502">
        <v>299652</v>
      </c>
    </row>
    <row r="503" spans="1:7" x14ac:dyDescent="0.35">
      <c r="A503">
        <v>2024</v>
      </c>
      <c r="B503">
        <v>8</v>
      </c>
      <c r="C503" t="s">
        <v>473</v>
      </c>
      <c r="D503" t="s">
        <v>26</v>
      </c>
      <c r="E503" t="s">
        <v>144</v>
      </c>
      <c r="F503" t="s">
        <v>325</v>
      </c>
      <c r="G503">
        <v>740</v>
      </c>
    </row>
    <row r="504" spans="1:7" x14ac:dyDescent="0.35">
      <c r="A504">
        <v>2024</v>
      </c>
      <c r="B504">
        <v>8</v>
      </c>
      <c r="C504" t="s">
        <v>473</v>
      </c>
      <c r="D504" t="s">
        <v>7</v>
      </c>
      <c r="E504" t="s">
        <v>147</v>
      </c>
      <c r="F504" t="s">
        <v>328</v>
      </c>
      <c r="G504">
        <v>36035</v>
      </c>
    </row>
    <row r="505" spans="1:7" x14ac:dyDescent="0.35">
      <c r="A505">
        <v>2024</v>
      </c>
      <c r="B505">
        <v>8</v>
      </c>
      <c r="C505" t="s">
        <v>473</v>
      </c>
      <c r="D505" t="s">
        <v>67</v>
      </c>
      <c r="E505" t="s">
        <v>148</v>
      </c>
      <c r="F505" t="s">
        <v>329</v>
      </c>
      <c r="G505">
        <v>1600</v>
      </c>
    </row>
    <row r="506" spans="1:7" x14ac:dyDescent="0.35">
      <c r="A506">
        <v>2024</v>
      </c>
      <c r="B506">
        <v>8</v>
      </c>
      <c r="C506" t="s">
        <v>473</v>
      </c>
      <c r="D506" t="s">
        <v>67</v>
      </c>
      <c r="E506" t="s">
        <v>149</v>
      </c>
      <c r="F506" t="s">
        <v>330</v>
      </c>
      <c r="G506">
        <v>7072</v>
      </c>
    </row>
    <row r="507" spans="1:7" x14ac:dyDescent="0.35">
      <c r="A507">
        <v>2024</v>
      </c>
      <c r="B507">
        <v>8</v>
      </c>
      <c r="C507" t="s">
        <v>473</v>
      </c>
      <c r="D507" t="s">
        <v>67</v>
      </c>
      <c r="E507" t="s">
        <v>150</v>
      </c>
      <c r="F507" t="s">
        <v>331</v>
      </c>
      <c r="G507">
        <v>46463</v>
      </c>
    </row>
    <row r="508" spans="1:7" x14ac:dyDescent="0.35">
      <c r="A508">
        <v>2024</v>
      </c>
      <c r="B508">
        <v>8</v>
      </c>
      <c r="C508" t="s">
        <v>473</v>
      </c>
      <c r="D508" t="s">
        <v>67</v>
      </c>
      <c r="E508" t="s">
        <v>151</v>
      </c>
      <c r="F508" t="s">
        <v>332</v>
      </c>
      <c r="G508">
        <v>2250</v>
      </c>
    </row>
    <row r="509" spans="1:7" x14ac:dyDescent="0.35">
      <c r="A509">
        <v>2024</v>
      </c>
      <c r="B509">
        <v>8</v>
      </c>
      <c r="C509" t="s">
        <v>473</v>
      </c>
      <c r="D509" t="s">
        <v>67</v>
      </c>
      <c r="E509" t="s">
        <v>152</v>
      </c>
      <c r="F509" t="s">
        <v>333</v>
      </c>
      <c r="G509">
        <v>24364</v>
      </c>
    </row>
    <row r="510" spans="1:7" x14ac:dyDescent="0.35">
      <c r="A510">
        <v>2024</v>
      </c>
      <c r="B510">
        <v>8</v>
      </c>
      <c r="C510" t="s">
        <v>473</v>
      </c>
      <c r="D510" t="s">
        <v>93</v>
      </c>
      <c r="E510" t="s">
        <v>153</v>
      </c>
      <c r="F510" t="s">
        <v>334</v>
      </c>
      <c r="G510">
        <v>80427.61</v>
      </c>
    </row>
    <row r="511" spans="1:7" x14ac:dyDescent="0.35">
      <c r="A511">
        <v>2024</v>
      </c>
      <c r="B511">
        <v>8</v>
      </c>
      <c r="C511" t="s">
        <v>473</v>
      </c>
      <c r="D511" t="s">
        <v>93</v>
      </c>
      <c r="E511" t="s">
        <v>154</v>
      </c>
      <c r="F511" t="s">
        <v>335</v>
      </c>
      <c r="G511">
        <v>42735.89</v>
      </c>
    </row>
    <row r="512" spans="1:7" x14ac:dyDescent="0.35">
      <c r="A512">
        <v>2024</v>
      </c>
      <c r="B512">
        <v>8</v>
      </c>
      <c r="C512" t="s">
        <v>473</v>
      </c>
      <c r="D512" t="s">
        <v>93</v>
      </c>
      <c r="E512" t="s">
        <v>281</v>
      </c>
      <c r="F512" t="s">
        <v>461</v>
      </c>
      <c r="G512">
        <v>130</v>
      </c>
    </row>
    <row r="513" spans="1:7" x14ac:dyDescent="0.35">
      <c r="A513">
        <v>2024</v>
      </c>
      <c r="B513">
        <v>8</v>
      </c>
      <c r="C513" t="s">
        <v>473</v>
      </c>
      <c r="D513" t="s">
        <v>89</v>
      </c>
      <c r="E513" t="s">
        <v>155</v>
      </c>
      <c r="F513" t="s">
        <v>336</v>
      </c>
      <c r="G513">
        <v>-90066.69</v>
      </c>
    </row>
    <row r="514" spans="1:7" x14ac:dyDescent="0.35">
      <c r="A514">
        <v>2024</v>
      </c>
      <c r="B514">
        <v>8</v>
      </c>
      <c r="C514" t="s">
        <v>473</v>
      </c>
      <c r="D514" t="s">
        <v>89</v>
      </c>
      <c r="E514" t="s">
        <v>156</v>
      </c>
      <c r="F514" t="s">
        <v>337</v>
      </c>
      <c r="G514">
        <v>443750.56</v>
      </c>
    </row>
    <row r="515" spans="1:7" x14ac:dyDescent="0.35">
      <c r="A515">
        <v>2024</v>
      </c>
      <c r="B515">
        <v>8</v>
      </c>
      <c r="C515" t="s">
        <v>473</v>
      </c>
      <c r="D515" t="s">
        <v>20</v>
      </c>
      <c r="E515" t="s">
        <v>158</v>
      </c>
      <c r="F515" t="s">
        <v>339</v>
      </c>
      <c r="G515">
        <v>494494</v>
      </c>
    </row>
    <row r="516" spans="1:7" x14ac:dyDescent="0.35">
      <c r="A516">
        <v>2024</v>
      </c>
      <c r="B516">
        <v>8</v>
      </c>
      <c r="C516" t="s">
        <v>473</v>
      </c>
      <c r="D516" t="s">
        <v>21</v>
      </c>
      <c r="E516" t="s">
        <v>159</v>
      </c>
      <c r="F516" t="s">
        <v>340</v>
      </c>
      <c r="G516">
        <v>158000</v>
      </c>
    </row>
    <row r="517" spans="1:7" x14ac:dyDescent="0.35">
      <c r="A517">
        <v>2024</v>
      </c>
      <c r="B517">
        <v>8</v>
      </c>
      <c r="C517" t="s">
        <v>473</v>
      </c>
      <c r="D517" t="s">
        <v>160</v>
      </c>
      <c r="E517" t="s">
        <v>161</v>
      </c>
      <c r="F517" t="s">
        <v>341</v>
      </c>
      <c r="G517">
        <v>158751</v>
      </c>
    </row>
    <row r="518" spans="1:7" x14ac:dyDescent="0.35">
      <c r="A518">
        <v>2024</v>
      </c>
      <c r="B518">
        <v>8</v>
      </c>
      <c r="C518" t="s">
        <v>473</v>
      </c>
      <c r="D518" t="s">
        <v>32</v>
      </c>
      <c r="E518" t="s">
        <v>162</v>
      </c>
      <c r="F518" t="s">
        <v>342</v>
      </c>
      <c r="G518">
        <v>17536</v>
      </c>
    </row>
    <row r="519" spans="1:7" x14ac:dyDescent="0.35">
      <c r="A519">
        <v>2024</v>
      </c>
      <c r="B519">
        <v>8</v>
      </c>
      <c r="C519" t="s">
        <v>473</v>
      </c>
      <c r="D519" t="s">
        <v>27</v>
      </c>
      <c r="E519" t="s">
        <v>166</v>
      </c>
      <c r="F519" t="s">
        <v>345</v>
      </c>
      <c r="G519">
        <v>38260</v>
      </c>
    </row>
    <row r="520" spans="1:7" x14ac:dyDescent="0.35">
      <c r="A520">
        <v>2024</v>
      </c>
      <c r="B520">
        <v>8</v>
      </c>
      <c r="C520" t="s">
        <v>473</v>
      </c>
      <c r="D520" t="s">
        <v>167</v>
      </c>
      <c r="E520" t="s">
        <v>167</v>
      </c>
      <c r="F520" t="s">
        <v>346</v>
      </c>
      <c r="G520">
        <v>-101174</v>
      </c>
    </row>
    <row r="521" spans="1:7" x14ac:dyDescent="0.35">
      <c r="A521">
        <v>2024</v>
      </c>
      <c r="B521">
        <v>8</v>
      </c>
      <c r="C521" t="s">
        <v>473</v>
      </c>
      <c r="D521" t="s">
        <v>9</v>
      </c>
      <c r="E521" t="s">
        <v>169</v>
      </c>
      <c r="F521" t="s">
        <v>348</v>
      </c>
      <c r="G521">
        <v>7720</v>
      </c>
    </row>
    <row r="522" spans="1:7" x14ac:dyDescent="0.35">
      <c r="A522">
        <v>2024</v>
      </c>
      <c r="B522">
        <v>8</v>
      </c>
      <c r="C522" t="s">
        <v>473</v>
      </c>
      <c r="D522" t="s">
        <v>72</v>
      </c>
      <c r="E522" t="s">
        <v>170</v>
      </c>
      <c r="F522" t="s">
        <v>349</v>
      </c>
      <c r="G522">
        <v>15130</v>
      </c>
    </row>
    <row r="523" spans="1:7" x14ac:dyDescent="0.35">
      <c r="A523">
        <v>2024</v>
      </c>
      <c r="B523">
        <v>8</v>
      </c>
      <c r="C523" t="s">
        <v>473</v>
      </c>
      <c r="D523" t="s">
        <v>39</v>
      </c>
      <c r="E523" t="s">
        <v>171</v>
      </c>
      <c r="F523" t="s">
        <v>350</v>
      </c>
      <c r="G523">
        <v>85</v>
      </c>
    </row>
    <row r="524" spans="1:7" x14ac:dyDescent="0.35">
      <c r="A524">
        <v>2024</v>
      </c>
      <c r="B524">
        <v>8</v>
      </c>
      <c r="C524" t="s">
        <v>473</v>
      </c>
      <c r="D524" t="s">
        <v>10</v>
      </c>
      <c r="E524" t="s">
        <v>172</v>
      </c>
      <c r="F524" t="s">
        <v>351</v>
      </c>
      <c r="G524">
        <v>6360</v>
      </c>
    </row>
    <row r="525" spans="1:7" x14ac:dyDescent="0.35">
      <c r="A525">
        <v>2024</v>
      </c>
      <c r="B525">
        <v>8</v>
      </c>
      <c r="C525" t="s">
        <v>473</v>
      </c>
      <c r="D525" t="s">
        <v>66</v>
      </c>
      <c r="E525" t="s">
        <v>173</v>
      </c>
      <c r="F525" t="s">
        <v>352</v>
      </c>
      <c r="G525">
        <v>429546</v>
      </c>
    </row>
    <row r="526" spans="1:7" x14ac:dyDescent="0.35">
      <c r="A526">
        <v>2024</v>
      </c>
      <c r="B526">
        <v>8</v>
      </c>
      <c r="C526" t="s">
        <v>473</v>
      </c>
      <c r="D526" t="s">
        <v>66</v>
      </c>
      <c r="E526" t="s">
        <v>174</v>
      </c>
      <c r="F526" t="s">
        <v>353</v>
      </c>
      <c r="G526">
        <v>21915</v>
      </c>
    </row>
    <row r="527" spans="1:7" x14ac:dyDescent="0.35">
      <c r="A527">
        <v>2024</v>
      </c>
      <c r="B527">
        <v>8</v>
      </c>
      <c r="C527" t="s">
        <v>473</v>
      </c>
      <c r="D527" t="s">
        <v>66</v>
      </c>
      <c r="E527" t="s">
        <v>175</v>
      </c>
      <c r="F527" t="s">
        <v>354</v>
      </c>
      <c r="G527">
        <v>483</v>
      </c>
    </row>
    <row r="528" spans="1:7" x14ac:dyDescent="0.35">
      <c r="A528">
        <v>2024</v>
      </c>
      <c r="B528">
        <v>8</v>
      </c>
      <c r="C528" t="s">
        <v>473</v>
      </c>
      <c r="D528" t="s">
        <v>66</v>
      </c>
      <c r="E528" t="s">
        <v>176</v>
      </c>
      <c r="F528" t="s">
        <v>355</v>
      </c>
      <c r="G528">
        <v>43555</v>
      </c>
    </row>
    <row r="529" spans="1:7" x14ac:dyDescent="0.35">
      <c r="A529">
        <v>2024</v>
      </c>
      <c r="B529">
        <v>8</v>
      </c>
      <c r="C529" t="s">
        <v>473</v>
      </c>
      <c r="D529" t="s">
        <v>66</v>
      </c>
      <c r="E529" t="s">
        <v>177</v>
      </c>
      <c r="F529" t="s">
        <v>356</v>
      </c>
      <c r="G529">
        <v>63282</v>
      </c>
    </row>
    <row r="530" spans="1:7" x14ac:dyDescent="0.35">
      <c r="A530">
        <v>2024</v>
      </c>
      <c r="B530">
        <v>8</v>
      </c>
      <c r="C530" t="s">
        <v>473</v>
      </c>
      <c r="D530" t="s">
        <v>66</v>
      </c>
      <c r="E530" t="s">
        <v>178</v>
      </c>
      <c r="F530" t="s">
        <v>357</v>
      </c>
      <c r="G530">
        <v>7163</v>
      </c>
    </row>
    <row r="531" spans="1:7" x14ac:dyDescent="0.35">
      <c r="A531">
        <v>2024</v>
      </c>
      <c r="B531">
        <v>8</v>
      </c>
      <c r="C531" t="s">
        <v>473</v>
      </c>
      <c r="D531" t="s">
        <v>11</v>
      </c>
      <c r="E531" t="s">
        <v>179</v>
      </c>
      <c r="F531" t="s">
        <v>180</v>
      </c>
      <c r="G531">
        <v>2723</v>
      </c>
    </row>
    <row r="532" spans="1:7" x14ac:dyDescent="0.35">
      <c r="A532">
        <v>2024</v>
      </c>
      <c r="B532">
        <v>8</v>
      </c>
      <c r="C532" t="s">
        <v>473</v>
      </c>
      <c r="D532" t="s">
        <v>11</v>
      </c>
      <c r="E532" t="s">
        <v>292</v>
      </c>
      <c r="F532" t="s">
        <v>475</v>
      </c>
      <c r="G532">
        <v>2268</v>
      </c>
    </row>
    <row r="533" spans="1:7" x14ac:dyDescent="0.35">
      <c r="A533">
        <v>2024</v>
      </c>
      <c r="B533">
        <v>8</v>
      </c>
      <c r="C533" t="s">
        <v>473</v>
      </c>
      <c r="D533" t="s">
        <v>74</v>
      </c>
      <c r="E533" t="s">
        <v>205</v>
      </c>
      <c r="F533" t="s">
        <v>384</v>
      </c>
      <c r="G533">
        <v>1123</v>
      </c>
    </row>
    <row r="534" spans="1:7" x14ac:dyDescent="0.35">
      <c r="A534">
        <v>2024</v>
      </c>
      <c r="B534">
        <v>8</v>
      </c>
      <c r="C534" t="s">
        <v>473</v>
      </c>
      <c r="D534" t="s">
        <v>74</v>
      </c>
      <c r="E534" t="s">
        <v>298</v>
      </c>
      <c r="F534" t="s">
        <v>363</v>
      </c>
      <c r="G534">
        <v>4204</v>
      </c>
    </row>
    <row r="535" spans="1:7" x14ac:dyDescent="0.35">
      <c r="A535">
        <v>2024</v>
      </c>
      <c r="B535">
        <v>8</v>
      </c>
      <c r="C535" t="s">
        <v>473</v>
      </c>
      <c r="D535" t="s">
        <v>74</v>
      </c>
      <c r="E535" t="s">
        <v>266</v>
      </c>
      <c r="F535" t="s">
        <v>446</v>
      </c>
      <c r="G535">
        <v>11148</v>
      </c>
    </row>
    <row r="536" spans="1:7" x14ac:dyDescent="0.35">
      <c r="A536">
        <v>2024</v>
      </c>
      <c r="B536">
        <v>8</v>
      </c>
      <c r="C536" t="s">
        <v>473</v>
      </c>
      <c r="D536" t="s">
        <v>74</v>
      </c>
      <c r="E536" t="s">
        <v>186</v>
      </c>
      <c r="F536" t="s">
        <v>364</v>
      </c>
      <c r="G536">
        <v>7005</v>
      </c>
    </row>
    <row r="537" spans="1:7" x14ac:dyDescent="0.35">
      <c r="A537">
        <v>2024</v>
      </c>
      <c r="B537">
        <v>8</v>
      </c>
      <c r="C537" t="s">
        <v>473</v>
      </c>
      <c r="D537" t="s">
        <v>74</v>
      </c>
      <c r="E537" t="s">
        <v>270</v>
      </c>
      <c r="F537" t="s">
        <v>450</v>
      </c>
      <c r="G537">
        <v>3546</v>
      </c>
    </row>
    <row r="538" spans="1:7" x14ac:dyDescent="0.35">
      <c r="A538">
        <v>2024</v>
      </c>
      <c r="B538">
        <v>8</v>
      </c>
      <c r="C538" t="s">
        <v>473</v>
      </c>
      <c r="D538" t="s">
        <v>74</v>
      </c>
      <c r="E538" t="s">
        <v>271</v>
      </c>
      <c r="F538" t="s">
        <v>451</v>
      </c>
      <c r="G538">
        <v>4200</v>
      </c>
    </row>
    <row r="539" spans="1:7" x14ac:dyDescent="0.35">
      <c r="A539">
        <v>2024</v>
      </c>
      <c r="B539">
        <v>8</v>
      </c>
      <c r="C539" t="s">
        <v>473</v>
      </c>
      <c r="D539" t="s">
        <v>85</v>
      </c>
      <c r="E539" t="s">
        <v>188</v>
      </c>
      <c r="F539" t="s">
        <v>366</v>
      </c>
      <c r="G539">
        <v>1074228.28</v>
      </c>
    </row>
    <row r="540" spans="1:7" x14ac:dyDescent="0.35">
      <c r="A540">
        <v>2024</v>
      </c>
      <c r="B540">
        <v>8</v>
      </c>
      <c r="C540" t="s">
        <v>473</v>
      </c>
      <c r="D540" t="s">
        <v>106</v>
      </c>
      <c r="E540" t="s">
        <v>189</v>
      </c>
      <c r="F540" t="s">
        <v>367</v>
      </c>
      <c r="G540">
        <v>3297844</v>
      </c>
    </row>
    <row r="541" spans="1:7" x14ac:dyDescent="0.35">
      <c r="A541">
        <v>2024</v>
      </c>
      <c r="B541">
        <v>8</v>
      </c>
      <c r="C541" t="s">
        <v>473</v>
      </c>
      <c r="D541" t="s">
        <v>106</v>
      </c>
      <c r="E541" t="s">
        <v>190</v>
      </c>
      <c r="F541" t="s">
        <v>368</v>
      </c>
      <c r="G541">
        <v>139125</v>
      </c>
    </row>
    <row r="542" spans="1:7" x14ac:dyDescent="0.35">
      <c r="A542">
        <v>2024</v>
      </c>
      <c r="B542">
        <v>8</v>
      </c>
      <c r="C542" t="s">
        <v>473</v>
      </c>
      <c r="D542" t="s">
        <v>106</v>
      </c>
      <c r="E542" t="s">
        <v>191</v>
      </c>
      <c r="F542" t="s">
        <v>369</v>
      </c>
      <c r="G542">
        <v>814768</v>
      </c>
    </row>
    <row r="543" spans="1:7" x14ac:dyDescent="0.35">
      <c r="A543">
        <v>2024</v>
      </c>
      <c r="B543">
        <v>8</v>
      </c>
      <c r="C543" t="s">
        <v>473</v>
      </c>
      <c r="D543" t="s">
        <v>106</v>
      </c>
      <c r="E543" t="s">
        <v>192</v>
      </c>
      <c r="F543" t="s">
        <v>370</v>
      </c>
      <c r="G543">
        <v>296100</v>
      </c>
    </row>
    <row r="544" spans="1:7" x14ac:dyDescent="0.35">
      <c r="A544">
        <v>2024</v>
      </c>
      <c r="B544">
        <v>8</v>
      </c>
      <c r="C544" t="s">
        <v>473</v>
      </c>
      <c r="D544" t="s">
        <v>106</v>
      </c>
      <c r="E544" t="s">
        <v>193</v>
      </c>
      <c r="F544" t="s">
        <v>371</v>
      </c>
      <c r="G544">
        <v>28800</v>
      </c>
    </row>
    <row r="545" spans="1:7" x14ac:dyDescent="0.35">
      <c r="A545">
        <v>2024</v>
      </c>
      <c r="B545">
        <v>8</v>
      </c>
      <c r="C545" t="s">
        <v>473</v>
      </c>
      <c r="D545" t="s">
        <v>106</v>
      </c>
      <c r="E545" t="s">
        <v>194</v>
      </c>
      <c r="F545" t="s">
        <v>372</v>
      </c>
      <c r="G545">
        <v>867</v>
      </c>
    </row>
    <row r="546" spans="1:7" x14ac:dyDescent="0.35">
      <c r="A546">
        <v>2024</v>
      </c>
      <c r="B546">
        <v>8</v>
      </c>
      <c r="C546" t="s">
        <v>473</v>
      </c>
      <c r="D546" t="s">
        <v>106</v>
      </c>
      <c r="E546" t="s">
        <v>195</v>
      </c>
      <c r="F546" t="s">
        <v>373</v>
      </c>
      <c r="G546">
        <v>95823</v>
      </c>
    </row>
    <row r="547" spans="1:7" x14ac:dyDescent="0.35">
      <c r="A547">
        <v>2024</v>
      </c>
      <c r="B547">
        <v>8</v>
      </c>
      <c r="C547" t="s">
        <v>473</v>
      </c>
      <c r="D547" t="s">
        <v>75</v>
      </c>
      <c r="E547" t="s">
        <v>204</v>
      </c>
      <c r="F547" t="s">
        <v>383</v>
      </c>
      <c r="G547">
        <v>19350</v>
      </c>
    </row>
    <row r="548" spans="1:7" x14ac:dyDescent="0.35">
      <c r="A548">
        <v>2024</v>
      </c>
      <c r="B548">
        <v>8</v>
      </c>
      <c r="C548" t="s">
        <v>473</v>
      </c>
      <c r="D548" t="s">
        <v>23</v>
      </c>
      <c r="E548" t="s">
        <v>206</v>
      </c>
      <c r="F548" t="s">
        <v>385</v>
      </c>
      <c r="G548">
        <v>12724</v>
      </c>
    </row>
    <row r="549" spans="1:7" x14ac:dyDescent="0.35">
      <c r="A549">
        <v>2024</v>
      </c>
      <c r="B549">
        <v>8</v>
      </c>
      <c r="C549" t="s">
        <v>473</v>
      </c>
      <c r="D549" t="s">
        <v>24</v>
      </c>
      <c r="E549" t="s">
        <v>207</v>
      </c>
      <c r="F549" t="s">
        <v>386</v>
      </c>
      <c r="G549">
        <v>125463</v>
      </c>
    </row>
    <row r="550" spans="1:7" x14ac:dyDescent="0.35">
      <c r="A550">
        <v>2024</v>
      </c>
      <c r="B550">
        <v>8</v>
      </c>
      <c r="C550" t="s">
        <v>473</v>
      </c>
      <c r="D550" t="s">
        <v>519</v>
      </c>
      <c r="E550" t="s">
        <v>202</v>
      </c>
      <c r="F550" t="s">
        <v>380</v>
      </c>
      <c r="G550">
        <v>2600</v>
      </c>
    </row>
    <row r="551" spans="1:7" x14ac:dyDescent="0.35">
      <c r="A551">
        <v>2024</v>
      </c>
      <c r="B551">
        <v>8</v>
      </c>
      <c r="C551" t="s">
        <v>473</v>
      </c>
      <c r="D551" t="s">
        <v>519</v>
      </c>
      <c r="E551" t="s">
        <v>203</v>
      </c>
      <c r="F551" t="s">
        <v>381</v>
      </c>
      <c r="G551">
        <v>20042.04</v>
      </c>
    </row>
    <row r="552" spans="1:7" x14ac:dyDescent="0.35">
      <c r="A552">
        <v>2024</v>
      </c>
      <c r="B552">
        <v>8</v>
      </c>
      <c r="C552" t="s">
        <v>473</v>
      </c>
      <c r="D552" t="s">
        <v>519</v>
      </c>
      <c r="E552" t="s">
        <v>196</v>
      </c>
      <c r="F552" t="s">
        <v>382</v>
      </c>
      <c r="G552">
        <v>1.1299999999999999</v>
      </c>
    </row>
    <row r="553" spans="1:7" x14ac:dyDescent="0.35">
      <c r="A553">
        <v>2024</v>
      </c>
      <c r="B553">
        <v>8</v>
      </c>
      <c r="C553" t="s">
        <v>473</v>
      </c>
      <c r="D553" t="s">
        <v>520</v>
      </c>
      <c r="E553" t="s">
        <v>208</v>
      </c>
      <c r="F553" t="s">
        <v>387</v>
      </c>
      <c r="G553">
        <v>79</v>
      </c>
    </row>
    <row r="554" spans="1:7" x14ac:dyDescent="0.35">
      <c r="A554">
        <v>2024</v>
      </c>
      <c r="B554">
        <v>8</v>
      </c>
      <c r="C554" t="s">
        <v>473</v>
      </c>
      <c r="D554" t="s">
        <v>520</v>
      </c>
      <c r="E554" t="s">
        <v>134</v>
      </c>
      <c r="F554" t="s">
        <v>315</v>
      </c>
      <c r="G554">
        <v>11735</v>
      </c>
    </row>
    <row r="555" spans="1:7" x14ac:dyDescent="0.35">
      <c r="A555">
        <v>2024</v>
      </c>
      <c r="B555">
        <v>8</v>
      </c>
      <c r="C555" t="s">
        <v>473</v>
      </c>
      <c r="D555" t="s">
        <v>520</v>
      </c>
      <c r="E555" t="s">
        <v>196</v>
      </c>
      <c r="F555" t="s">
        <v>374</v>
      </c>
      <c r="G555">
        <v>5</v>
      </c>
    </row>
    <row r="556" spans="1:7" x14ac:dyDescent="0.35">
      <c r="A556">
        <v>2024</v>
      </c>
      <c r="B556">
        <v>8</v>
      </c>
      <c r="C556" t="s">
        <v>473</v>
      </c>
      <c r="D556" t="s">
        <v>520</v>
      </c>
      <c r="E556" t="s">
        <v>198</v>
      </c>
      <c r="F556" t="s">
        <v>376</v>
      </c>
      <c r="G556">
        <v>1638</v>
      </c>
    </row>
    <row r="557" spans="1:7" x14ac:dyDescent="0.35">
      <c r="A557">
        <v>2024</v>
      </c>
      <c r="B557">
        <v>8</v>
      </c>
      <c r="C557" t="s">
        <v>473</v>
      </c>
      <c r="D557" t="s">
        <v>520</v>
      </c>
      <c r="E557" t="s">
        <v>199</v>
      </c>
      <c r="F557" t="s">
        <v>377</v>
      </c>
      <c r="G557">
        <v>56</v>
      </c>
    </row>
    <row r="558" spans="1:7" x14ac:dyDescent="0.35">
      <c r="A558">
        <v>2024</v>
      </c>
      <c r="B558">
        <v>8</v>
      </c>
      <c r="C558" t="s">
        <v>473</v>
      </c>
      <c r="D558" t="s">
        <v>520</v>
      </c>
      <c r="E558" t="s">
        <v>200</v>
      </c>
      <c r="F558" t="s">
        <v>378</v>
      </c>
      <c r="G558">
        <v>2951</v>
      </c>
    </row>
    <row r="559" spans="1:7" x14ac:dyDescent="0.35">
      <c r="A559">
        <v>2024</v>
      </c>
      <c r="B559">
        <v>8</v>
      </c>
      <c r="C559" t="s">
        <v>473</v>
      </c>
      <c r="D559" t="s">
        <v>520</v>
      </c>
      <c r="E559" t="s">
        <v>201</v>
      </c>
      <c r="F559" t="s">
        <v>379</v>
      </c>
      <c r="G559">
        <v>6370</v>
      </c>
    </row>
    <row r="560" spans="1:7" x14ac:dyDescent="0.35">
      <c r="A560">
        <v>2024</v>
      </c>
      <c r="B560">
        <v>8</v>
      </c>
      <c r="C560" t="s">
        <v>473</v>
      </c>
      <c r="D560" t="s">
        <v>33</v>
      </c>
      <c r="E560" t="s">
        <v>209</v>
      </c>
      <c r="F560" t="s">
        <v>388</v>
      </c>
      <c r="G560">
        <v>39</v>
      </c>
    </row>
    <row r="561" spans="1:7" x14ac:dyDescent="0.35">
      <c r="A561">
        <v>2024</v>
      </c>
      <c r="B561">
        <v>8</v>
      </c>
      <c r="C561" t="s">
        <v>473</v>
      </c>
      <c r="D561" t="s">
        <v>12</v>
      </c>
      <c r="E561" t="s">
        <v>210</v>
      </c>
      <c r="F561" t="s">
        <v>389</v>
      </c>
      <c r="G561">
        <v>2406</v>
      </c>
    </row>
    <row r="562" spans="1:7" x14ac:dyDescent="0.35">
      <c r="A562">
        <v>2024</v>
      </c>
      <c r="B562">
        <v>8</v>
      </c>
      <c r="C562" t="s">
        <v>473</v>
      </c>
      <c r="D562" t="s">
        <v>12</v>
      </c>
      <c r="E562" t="s">
        <v>211</v>
      </c>
      <c r="F562" t="s">
        <v>390</v>
      </c>
      <c r="G562">
        <v>1180</v>
      </c>
    </row>
    <row r="563" spans="1:7" x14ac:dyDescent="0.35">
      <c r="A563">
        <v>2024</v>
      </c>
      <c r="B563">
        <v>8</v>
      </c>
      <c r="C563" t="s">
        <v>473</v>
      </c>
      <c r="D563" t="s">
        <v>12</v>
      </c>
      <c r="E563" t="s">
        <v>212</v>
      </c>
      <c r="F563" t="s">
        <v>391</v>
      </c>
      <c r="G563">
        <v>15937</v>
      </c>
    </row>
    <row r="564" spans="1:7" x14ac:dyDescent="0.35">
      <c r="A564">
        <v>2024</v>
      </c>
      <c r="B564">
        <v>8</v>
      </c>
      <c r="C564" t="s">
        <v>473</v>
      </c>
      <c r="D564" t="s">
        <v>12</v>
      </c>
      <c r="E564" t="s">
        <v>213</v>
      </c>
      <c r="F564" t="s">
        <v>392</v>
      </c>
      <c r="G564">
        <v>5090</v>
      </c>
    </row>
    <row r="565" spans="1:7" x14ac:dyDescent="0.35">
      <c r="A565">
        <v>2024</v>
      </c>
      <c r="B565">
        <v>8</v>
      </c>
      <c r="C565" t="s">
        <v>473</v>
      </c>
      <c r="D565" t="s">
        <v>12</v>
      </c>
      <c r="E565" t="s">
        <v>214</v>
      </c>
      <c r="F565" t="s">
        <v>394</v>
      </c>
      <c r="G565">
        <v>2823</v>
      </c>
    </row>
    <row r="566" spans="1:7" x14ac:dyDescent="0.35">
      <c r="A566">
        <v>2024</v>
      </c>
      <c r="B566">
        <v>8</v>
      </c>
      <c r="C566" t="s">
        <v>473</v>
      </c>
      <c r="D566" t="s">
        <v>12</v>
      </c>
      <c r="E566" t="s">
        <v>215</v>
      </c>
      <c r="F566" t="s">
        <v>395</v>
      </c>
      <c r="G566">
        <v>1353</v>
      </c>
    </row>
    <row r="567" spans="1:7" x14ac:dyDescent="0.35">
      <c r="A567">
        <v>2024</v>
      </c>
      <c r="B567">
        <v>8</v>
      </c>
      <c r="C567" t="s">
        <v>473</v>
      </c>
      <c r="D567" t="s">
        <v>12</v>
      </c>
      <c r="E567" t="s">
        <v>216</v>
      </c>
      <c r="F567" t="s">
        <v>396</v>
      </c>
      <c r="G567">
        <v>8399</v>
      </c>
    </row>
    <row r="568" spans="1:7" x14ac:dyDescent="0.35">
      <c r="A568">
        <v>2024</v>
      </c>
      <c r="B568">
        <v>8</v>
      </c>
      <c r="C568" t="s">
        <v>473</v>
      </c>
      <c r="D568" t="s">
        <v>12</v>
      </c>
      <c r="E568" t="s">
        <v>217</v>
      </c>
      <c r="F568" t="s">
        <v>397</v>
      </c>
      <c r="G568">
        <v>930</v>
      </c>
    </row>
    <row r="569" spans="1:7" x14ac:dyDescent="0.35">
      <c r="A569">
        <v>2024</v>
      </c>
      <c r="B569">
        <v>8</v>
      </c>
      <c r="C569" t="s">
        <v>473</v>
      </c>
      <c r="D569" t="s">
        <v>12</v>
      </c>
      <c r="E569" t="s">
        <v>218</v>
      </c>
      <c r="F569" t="s">
        <v>398</v>
      </c>
      <c r="G569">
        <v>4767</v>
      </c>
    </row>
    <row r="570" spans="1:7" x14ac:dyDescent="0.35">
      <c r="A570">
        <v>2024</v>
      </c>
      <c r="B570">
        <v>8</v>
      </c>
      <c r="C570" t="s">
        <v>473</v>
      </c>
      <c r="D570" t="s">
        <v>12</v>
      </c>
      <c r="E570" t="s">
        <v>219</v>
      </c>
      <c r="F570" t="s">
        <v>399</v>
      </c>
      <c r="G570">
        <v>3172</v>
      </c>
    </row>
    <row r="571" spans="1:7" x14ac:dyDescent="0.35">
      <c r="A571">
        <v>2024</v>
      </c>
      <c r="B571">
        <v>8</v>
      </c>
      <c r="C571" t="s">
        <v>473</v>
      </c>
      <c r="D571" t="s">
        <v>12</v>
      </c>
      <c r="E571" t="s">
        <v>220</v>
      </c>
      <c r="F571" t="s">
        <v>400</v>
      </c>
      <c r="G571">
        <v>4758</v>
      </c>
    </row>
    <row r="572" spans="1:7" x14ac:dyDescent="0.35">
      <c r="A572">
        <v>2024</v>
      </c>
      <c r="B572">
        <v>8</v>
      </c>
      <c r="C572" t="s">
        <v>473</v>
      </c>
      <c r="D572" t="s">
        <v>12</v>
      </c>
      <c r="E572" t="s">
        <v>221</v>
      </c>
      <c r="F572" t="s">
        <v>401</v>
      </c>
      <c r="G572">
        <v>3374</v>
      </c>
    </row>
    <row r="573" spans="1:7" x14ac:dyDescent="0.35">
      <c r="A573">
        <v>2024</v>
      </c>
      <c r="B573">
        <v>8</v>
      </c>
      <c r="C573" t="s">
        <v>473</v>
      </c>
      <c r="D573" t="s">
        <v>12</v>
      </c>
      <c r="E573" t="s">
        <v>222</v>
      </c>
      <c r="F573" t="s">
        <v>402</v>
      </c>
      <c r="G573">
        <v>2968</v>
      </c>
    </row>
    <row r="574" spans="1:7" x14ac:dyDescent="0.35">
      <c r="A574">
        <v>2024</v>
      </c>
      <c r="B574">
        <v>8</v>
      </c>
      <c r="C574" t="s">
        <v>473</v>
      </c>
      <c r="D574" t="s">
        <v>28</v>
      </c>
      <c r="E574" t="s">
        <v>223</v>
      </c>
      <c r="F574" t="s">
        <v>403</v>
      </c>
      <c r="G574">
        <v>25103</v>
      </c>
    </row>
    <row r="575" spans="1:7" x14ac:dyDescent="0.35">
      <c r="A575">
        <v>2024</v>
      </c>
      <c r="B575">
        <v>8</v>
      </c>
      <c r="C575" t="s">
        <v>473</v>
      </c>
      <c r="D575" t="s">
        <v>28</v>
      </c>
      <c r="E575" t="s">
        <v>224</v>
      </c>
      <c r="F575" t="s">
        <v>404</v>
      </c>
      <c r="G575">
        <v>9833</v>
      </c>
    </row>
    <row r="576" spans="1:7" x14ac:dyDescent="0.35">
      <c r="A576">
        <v>2024</v>
      </c>
      <c r="B576">
        <v>8</v>
      </c>
      <c r="C576" t="s">
        <v>473</v>
      </c>
      <c r="D576" t="s">
        <v>64</v>
      </c>
      <c r="E576" t="s">
        <v>225</v>
      </c>
      <c r="F576" t="s">
        <v>405</v>
      </c>
      <c r="G576">
        <v>16806</v>
      </c>
    </row>
    <row r="577" spans="1:7" x14ac:dyDescent="0.35">
      <c r="A577">
        <v>2024</v>
      </c>
      <c r="B577">
        <v>8</v>
      </c>
      <c r="C577" t="s">
        <v>473</v>
      </c>
      <c r="D577" t="s">
        <v>102</v>
      </c>
      <c r="E577" t="s">
        <v>227</v>
      </c>
      <c r="F577" t="s">
        <v>407</v>
      </c>
      <c r="G577">
        <v>103680</v>
      </c>
    </row>
    <row r="578" spans="1:7" x14ac:dyDescent="0.35">
      <c r="A578">
        <v>2024</v>
      </c>
      <c r="B578">
        <v>8</v>
      </c>
      <c r="C578" t="s">
        <v>473</v>
      </c>
      <c r="D578" t="s">
        <v>25</v>
      </c>
      <c r="E578" t="s">
        <v>228</v>
      </c>
      <c r="F578" t="s">
        <v>408</v>
      </c>
      <c r="G578">
        <v>831</v>
      </c>
    </row>
    <row r="579" spans="1:7" x14ac:dyDescent="0.35">
      <c r="A579">
        <v>2024</v>
      </c>
      <c r="B579">
        <v>8</v>
      </c>
      <c r="C579" t="s">
        <v>473</v>
      </c>
      <c r="D579" t="s">
        <v>25</v>
      </c>
      <c r="E579" t="s">
        <v>274</v>
      </c>
      <c r="F579" t="s">
        <v>454</v>
      </c>
      <c r="G579">
        <v>127703</v>
      </c>
    </row>
    <row r="580" spans="1:7" x14ac:dyDescent="0.35">
      <c r="A580">
        <v>2024</v>
      </c>
      <c r="B580">
        <v>8</v>
      </c>
      <c r="C580" t="s">
        <v>473</v>
      </c>
      <c r="D580" t="s">
        <v>229</v>
      </c>
      <c r="E580" t="s">
        <v>230</v>
      </c>
      <c r="F580" t="s">
        <v>409</v>
      </c>
      <c r="G580">
        <v>-14849</v>
      </c>
    </row>
    <row r="581" spans="1:7" x14ac:dyDescent="0.35">
      <c r="A581">
        <v>2024</v>
      </c>
      <c r="B581">
        <v>8</v>
      </c>
      <c r="C581" t="s">
        <v>473</v>
      </c>
      <c r="D581" t="s">
        <v>13</v>
      </c>
      <c r="E581" t="s">
        <v>232</v>
      </c>
      <c r="F581" t="s">
        <v>411</v>
      </c>
      <c r="G581">
        <v>635</v>
      </c>
    </row>
    <row r="582" spans="1:7" x14ac:dyDescent="0.35">
      <c r="A582">
        <v>2024</v>
      </c>
      <c r="B582">
        <v>8</v>
      </c>
      <c r="C582" t="s">
        <v>473</v>
      </c>
      <c r="D582" t="s">
        <v>94</v>
      </c>
      <c r="E582" t="s">
        <v>233</v>
      </c>
      <c r="F582" t="s">
        <v>412</v>
      </c>
      <c r="G582">
        <v>30300</v>
      </c>
    </row>
    <row r="583" spans="1:7" x14ac:dyDescent="0.35">
      <c r="A583">
        <v>2024</v>
      </c>
      <c r="B583">
        <v>8</v>
      </c>
      <c r="C583" t="s">
        <v>473</v>
      </c>
      <c r="D583" t="s">
        <v>36</v>
      </c>
      <c r="E583" t="s">
        <v>275</v>
      </c>
      <c r="F583" t="s">
        <v>455</v>
      </c>
      <c r="G583">
        <v>51384</v>
      </c>
    </row>
    <row r="584" spans="1:7" x14ac:dyDescent="0.35">
      <c r="A584">
        <v>2024</v>
      </c>
      <c r="B584">
        <v>8</v>
      </c>
      <c r="C584" t="s">
        <v>473</v>
      </c>
      <c r="D584" t="s">
        <v>40</v>
      </c>
      <c r="E584" t="s">
        <v>235</v>
      </c>
      <c r="F584" t="s">
        <v>414</v>
      </c>
      <c r="G584">
        <v>10545</v>
      </c>
    </row>
    <row r="585" spans="1:7" x14ac:dyDescent="0.35">
      <c r="A585">
        <v>2024</v>
      </c>
      <c r="B585">
        <v>8</v>
      </c>
      <c r="C585" t="s">
        <v>473</v>
      </c>
      <c r="D585" t="s">
        <v>76</v>
      </c>
      <c r="E585" t="s">
        <v>236</v>
      </c>
      <c r="F585" t="s">
        <v>415</v>
      </c>
      <c r="G585">
        <v>-101174</v>
      </c>
    </row>
    <row r="586" spans="1:7" x14ac:dyDescent="0.35">
      <c r="A586">
        <v>2024</v>
      </c>
      <c r="B586">
        <v>8</v>
      </c>
      <c r="C586" t="s">
        <v>473</v>
      </c>
      <c r="D586" t="s">
        <v>76</v>
      </c>
      <c r="E586" t="s">
        <v>237</v>
      </c>
      <c r="F586" t="s">
        <v>416</v>
      </c>
      <c r="G586">
        <v>103679.53</v>
      </c>
    </row>
    <row r="587" spans="1:7" x14ac:dyDescent="0.35">
      <c r="A587">
        <v>2024</v>
      </c>
      <c r="B587">
        <v>8</v>
      </c>
      <c r="C587" t="s">
        <v>473</v>
      </c>
      <c r="D587" t="s">
        <v>76</v>
      </c>
      <c r="E587" t="s">
        <v>238</v>
      </c>
      <c r="F587" t="s">
        <v>417</v>
      </c>
      <c r="G587">
        <v>-70847.02</v>
      </c>
    </row>
    <row r="588" spans="1:7" x14ac:dyDescent="0.35">
      <c r="A588">
        <v>2024</v>
      </c>
      <c r="B588">
        <v>8</v>
      </c>
      <c r="C588" t="s">
        <v>473</v>
      </c>
      <c r="D588" t="s">
        <v>76</v>
      </c>
      <c r="E588" t="s">
        <v>239</v>
      </c>
      <c r="F588" t="s">
        <v>418</v>
      </c>
      <c r="G588">
        <v>-2343436.06</v>
      </c>
    </row>
    <row r="589" spans="1:7" x14ac:dyDescent="0.35">
      <c r="A589">
        <v>2024</v>
      </c>
      <c r="B589">
        <v>8</v>
      </c>
      <c r="C589" t="s">
        <v>473</v>
      </c>
      <c r="D589" t="s">
        <v>35</v>
      </c>
      <c r="E589" t="s">
        <v>240</v>
      </c>
      <c r="F589" t="s">
        <v>419</v>
      </c>
      <c r="G589">
        <v>52086.34</v>
      </c>
    </row>
    <row r="590" spans="1:7" x14ac:dyDescent="0.35">
      <c r="A590">
        <v>2024</v>
      </c>
      <c r="B590">
        <v>8</v>
      </c>
      <c r="C590" t="s">
        <v>473</v>
      </c>
      <c r="D590" t="s">
        <v>103</v>
      </c>
      <c r="E590" t="s">
        <v>242</v>
      </c>
      <c r="F590" t="s">
        <v>421</v>
      </c>
      <c r="G590">
        <v>-70847</v>
      </c>
    </row>
    <row r="591" spans="1:7" x14ac:dyDescent="0.35">
      <c r="A591">
        <v>2024</v>
      </c>
      <c r="B591">
        <v>8</v>
      </c>
      <c r="C591" t="s">
        <v>473</v>
      </c>
      <c r="D591" t="s">
        <v>104</v>
      </c>
      <c r="E591" t="s">
        <v>243</v>
      </c>
      <c r="F591" t="s">
        <v>422</v>
      </c>
      <c r="G591">
        <v>-2343436</v>
      </c>
    </row>
    <row r="592" spans="1:7" x14ac:dyDescent="0.35">
      <c r="A592">
        <v>2024</v>
      </c>
      <c r="B592">
        <v>8</v>
      </c>
      <c r="C592" t="s">
        <v>473</v>
      </c>
      <c r="D592" t="s">
        <v>244</v>
      </c>
      <c r="E592" t="s">
        <v>245</v>
      </c>
      <c r="F592" t="s">
        <v>423</v>
      </c>
      <c r="G592">
        <v>149294</v>
      </c>
    </row>
    <row r="593" spans="1:7" x14ac:dyDescent="0.35">
      <c r="A593">
        <v>2024</v>
      </c>
      <c r="B593">
        <v>8</v>
      </c>
      <c r="C593" t="s">
        <v>473</v>
      </c>
      <c r="D593" t="s">
        <v>14</v>
      </c>
      <c r="E593" t="s">
        <v>131</v>
      </c>
      <c r="F593" t="s">
        <v>425</v>
      </c>
      <c r="G593">
        <v>269403</v>
      </c>
    </row>
    <row r="594" spans="1:7" x14ac:dyDescent="0.35">
      <c r="A594">
        <v>2024</v>
      </c>
      <c r="B594">
        <v>8</v>
      </c>
      <c r="C594" t="s">
        <v>473</v>
      </c>
      <c r="D594" t="s">
        <v>30</v>
      </c>
      <c r="E594" t="s">
        <v>247</v>
      </c>
      <c r="F594" t="s">
        <v>426</v>
      </c>
      <c r="G594">
        <v>18093</v>
      </c>
    </row>
    <row r="595" spans="1:7" x14ac:dyDescent="0.35">
      <c r="A595">
        <v>2024</v>
      </c>
      <c r="B595">
        <v>8</v>
      </c>
      <c r="C595" t="s">
        <v>473</v>
      </c>
      <c r="D595" t="s">
        <v>15</v>
      </c>
      <c r="E595" t="s">
        <v>248</v>
      </c>
      <c r="F595" t="s">
        <v>427</v>
      </c>
      <c r="G595">
        <v>32445</v>
      </c>
    </row>
    <row r="596" spans="1:7" x14ac:dyDescent="0.35">
      <c r="A596">
        <v>2024</v>
      </c>
      <c r="B596">
        <v>8</v>
      </c>
      <c r="C596" t="s">
        <v>473</v>
      </c>
      <c r="D596" t="s">
        <v>90</v>
      </c>
      <c r="E596" t="s">
        <v>277</v>
      </c>
      <c r="F596" t="s">
        <v>457</v>
      </c>
      <c r="G596">
        <v>14876.03</v>
      </c>
    </row>
    <row r="597" spans="1:7" x14ac:dyDescent="0.35">
      <c r="A597">
        <v>2024</v>
      </c>
      <c r="B597">
        <v>8</v>
      </c>
      <c r="C597" t="s">
        <v>473</v>
      </c>
      <c r="D597" t="s">
        <v>90</v>
      </c>
      <c r="E597" t="s">
        <v>249</v>
      </c>
      <c r="F597" t="s">
        <v>428</v>
      </c>
      <c r="G597">
        <v>26172.5</v>
      </c>
    </row>
    <row r="598" spans="1:7" x14ac:dyDescent="0.35">
      <c r="A598">
        <v>2024</v>
      </c>
      <c r="B598">
        <v>8</v>
      </c>
      <c r="C598" t="s">
        <v>473</v>
      </c>
      <c r="D598" t="s">
        <v>84</v>
      </c>
      <c r="E598" t="s">
        <v>250</v>
      </c>
      <c r="F598" t="s">
        <v>429</v>
      </c>
      <c r="G598">
        <v>1742827.53</v>
      </c>
    </row>
    <row r="599" spans="1:7" x14ac:dyDescent="0.35">
      <c r="A599">
        <v>2024</v>
      </c>
      <c r="B599">
        <v>8</v>
      </c>
      <c r="C599" t="s">
        <v>473</v>
      </c>
      <c r="D599" t="s">
        <v>81</v>
      </c>
      <c r="E599" t="s">
        <v>251</v>
      </c>
      <c r="F599" t="s">
        <v>430</v>
      </c>
      <c r="G599">
        <v>5885136.46</v>
      </c>
    </row>
    <row r="600" spans="1:7" x14ac:dyDescent="0.35">
      <c r="A600">
        <v>2024</v>
      </c>
      <c r="B600">
        <v>8</v>
      </c>
      <c r="C600" t="s">
        <v>473</v>
      </c>
      <c r="D600" t="s">
        <v>81</v>
      </c>
      <c r="E600" t="s">
        <v>252</v>
      </c>
      <c r="F600" t="s">
        <v>431</v>
      </c>
      <c r="G600">
        <v>3750182.1</v>
      </c>
    </row>
    <row r="601" spans="1:7" x14ac:dyDescent="0.35">
      <c r="A601">
        <v>2024</v>
      </c>
      <c r="B601">
        <v>8</v>
      </c>
      <c r="C601" t="s">
        <v>473</v>
      </c>
      <c r="D601" t="s">
        <v>81</v>
      </c>
      <c r="E601" t="s">
        <v>289</v>
      </c>
      <c r="F601" t="s">
        <v>471</v>
      </c>
      <c r="G601">
        <v>1661465</v>
      </c>
    </row>
    <row r="602" spans="1:7" x14ac:dyDescent="0.35">
      <c r="A602">
        <v>2024</v>
      </c>
      <c r="B602">
        <v>8</v>
      </c>
      <c r="C602" t="s">
        <v>473</v>
      </c>
      <c r="D602" t="s">
        <v>44</v>
      </c>
      <c r="E602" t="s">
        <v>253</v>
      </c>
      <c r="F602" t="s">
        <v>432</v>
      </c>
      <c r="G602">
        <v>73534</v>
      </c>
    </row>
    <row r="603" spans="1:7" x14ac:dyDescent="0.35">
      <c r="A603">
        <v>2024</v>
      </c>
      <c r="B603">
        <v>8</v>
      </c>
      <c r="C603" t="s">
        <v>473</v>
      </c>
      <c r="D603" t="s">
        <v>16</v>
      </c>
      <c r="E603" t="s">
        <v>254</v>
      </c>
      <c r="F603" t="s">
        <v>433</v>
      </c>
      <c r="G603">
        <v>27548</v>
      </c>
    </row>
    <row r="604" spans="1:7" x14ac:dyDescent="0.35">
      <c r="A604">
        <v>2024</v>
      </c>
      <c r="B604">
        <v>8</v>
      </c>
      <c r="C604" t="s">
        <v>473</v>
      </c>
      <c r="D604" t="s">
        <v>17</v>
      </c>
      <c r="E604" t="s">
        <v>255</v>
      </c>
      <c r="F604" t="s">
        <v>434</v>
      </c>
      <c r="G604">
        <v>17288</v>
      </c>
    </row>
    <row r="605" spans="1:7" x14ac:dyDescent="0.35">
      <c r="A605">
        <v>2024</v>
      </c>
      <c r="B605">
        <v>8</v>
      </c>
      <c r="C605" t="s">
        <v>473</v>
      </c>
      <c r="D605" t="s">
        <v>37</v>
      </c>
      <c r="E605" t="s">
        <v>256</v>
      </c>
      <c r="F605" t="s">
        <v>435</v>
      </c>
      <c r="G605">
        <v>-16686.3</v>
      </c>
    </row>
    <row r="606" spans="1:7" x14ac:dyDescent="0.35">
      <c r="A606">
        <v>2024</v>
      </c>
      <c r="B606">
        <v>8</v>
      </c>
      <c r="C606" t="s">
        <v>473</v>
      </c>
      <c r="D606" t="s">
        <v>37</v>
      </c>
      <c r="E606" t="s">
        <v>257</v>
      </c>
      <c r="F606" t="s">
        <v>436</v>
      </c>
      <c r="G606">
        <v>-2393589.31</v>
      </c>
    </row>
    <row r="607" spans="1:7" x14ac:dyDescent="0.35">
      <c r="A607">
        <v>2024</v>
      </c>
      <c r="B607">
        <v>8</v>
      </c>
      <c r="C607" t="s">
        <v>473</v>
      </c>
      <c r="D607" t="s">
        <v>18</v>
      </c>
      <c r="E607" t="s">
        <v>259</v>
      </c>
      <c r="F607" t="s">
        <v>438</v>
      </c>
      <c r="G607">
        <v>16394</v>
      </c>
    </row>
    <row r="608" spans="1:7" x14ac:dyDescent="0.35">
      <c r="A608">
        <v>2024</v>
      </c>
      <c r="B608">
        <v>9</v>
      </c>
      <c r="C608" t="s">
        <v>476</v>
      </c>
      <c r="E608" t="s">
        <v>293</v>
      </c>
      <c r="F608" t="s">
        <v>477</v>
      </c>
      <c r="G608">
        <v>7097</v>
      </c>
    </row>
    <row r="609" spans="1:7" x14ac:dyDescent="0.35">
      <c r="A609">
        <v>2024</v>
      </c>
      <c r="B609">
        <v>9</v>
      </c>
      <c r="C609" t="s">
        <v>476</v>
      </c>
      <c r="D609" t="s">
        <v>38</v>
      </c>
      <c r="E609" t="s">
        <v>122</v>
      </c>
      <c r="F609" t="s">
        <v>314</v>
      </c>
      <c r="G609">
        <v>17283</v>
      </c>
    </row>
    <row r="610" spans="1:7" x14ac:dyDescent="0.35">
      <c r="A610">
        <v>2024</v>
      </c>
      <c r="B610">
        <v>9</v>
      </c>
      <c r="C610" t="s">
        <v>476</v>
      </c>
      <c r="D610" t="s">
        <v>6</v>
      </c>
      <c r="E610" t="s">
        <v>135</v>
      </c>
      <c r="F610" t="s">
        <v>316</v>
      </c>
      <c r="G610">
        <v>12396</v>
      </c>
    </row>
    <row r="611" spans="1:7" x14ac:dyDescent="0.35">
      <c r="A611">
        <v>2024</v>
      </c>
      <c r="B611">
        <v>9</v>
      </c>
      <c r="C611" t="s">
        <v>476</v>
      </c>
      <c r="D611" t="s">
        <v>6</v>
      </c>
      <c r="E611" t="s">
        <v>136</v>
      </c>
      <c r="F611" t="s">
        <v>317</v>
      </c>
      <c r="G611">
        <v>29363</v>
      </c>
    </row>
    <row r="612" spans="1:7" x14ac:dyDescent="0.35">
      <c r="A612">
        <v>2024</v>
      </c>
      <c r="B612">
        <v>9</v>
      </c>
      <c r="C612" t="s">
        <v>476</v>
      </c>
      <c r="D612" t="s">
        <v>6</v>
      </c>
      <c r="E612" t="s">
        <v>137</v>
      </c>
      <c r="F612" t="s">
        <v>318</v>
      </c>
      <c r="G612">
        <v>33421</v>
      </c>
    </row>
    <row r="613" spans="1:7" x14ac:dyDescent="0.35">
      <c r="A613">
        <v>2024</v>
      </c>
      <c r="B613">
        <v>9</v>
      </c>
      <c r="C613" t="s">
        <v>476</v>
      </c>
      <c r="D613" t="s">
        <v>6</v>
      </c>
      <c r="E613" t="s">
        <v>138</v>
      </c>
      <c r="F613" t="s">
        <v>319</v>
      </c>
      <c r="G613">
        <v>213813</v>
      </c>
    </row>
    <row r="614" spans="1:7" x14ac:dyDescent="0.35">
      <c r="A614">
        <v>2024</v>
      </c>
      <c r="B614">
        <v>9</v>
      </c>
      <c r="C614" t="s">
        <v>476</v>
      </c>
      <c r="D614" t="s">
        <v>62</v>
      </c>
      <c r="E614" t="s">
        <v>288</v>
      </c>
      <c r="F614" t="s">
        <v>470</v>
      </c>
      <c r="G614">
        <v>100</v>
      </c>
    </row>
    <row r="615" spans="1:7" x14ac:dyDescent="0.35">
      <c r="A615">
        <v>2024</v>
      </c>
      <c r="B615">
        <v>9</v>
      </c>
      <c r="C615" t="s">
        <v>476</v>
      </c>
      <c r="D615" t="s">
        <v>62</v>
      </c>
      <c r="E615" t="s">
        <v>139</v>
      </c>
      <c r="F615" t="s">
        <v>320</v>
      </c>
      <c r="G615">
        <v>211</v>
      </c>
    </row>
    <row r="616" spans="1:7" x14ac:dyDescent="0.35">
      <c r="A616">
        <v>2024</v>
      </c>
      <c r="B616">
        <v>9</v>
      </c>
      <c r="C616" t="s">
        <v>476</v>
      </c>
      <c r="D616" t="s">
        <v>31</v>
      </c>
      <c r="E616" t="s">
        <v>143</v>
      </c>
      <c r="F616" t="s">
        <v>324</v>
      </c>
      <c r="G616">
        <v>194018</v>
      </c>
    </row>
    <row r="617" spans="1:7" x14ac:dyDescent="0.35">
      <c r="A617">
        <v>2024</v>
      </c>
      <c r="B617">
        <v>9</v>
      </c>
      <c r="C617" t="s">
        <v>476</v>
      </c>
      <c r="D617" t="s">
        <v>91</v>
      </c>
      <c r="E617" t="s">
        <v>521</v>
      </c>
      <c r="F617" t="s">
        <v>522</v>
      </c>
      <c r="G617">
        <v>972125.95</v>
      </c>
    </row>
    <row r="618" spans="1:7" x14ac:dyDescent="0.35">
      <c r="A618">
        <v>2024</v>
      </c>
      <c r="B618">
        <v>9</v>
      </c>
      <c r="C618" t="s">
        <v>476</v>
      </c>
      <c r="D618" t="s">
        <v>26</v>
      </c>
      <c r="E618" t="s">
        <v>144</v>
      </c>
      <c r="F618" t="s">
        <v>325</v>
      </c>
      <c r="G618">
        <v>9102</v>
      </c>
    </row>
    <row r="619" spans="1:7" x14ac:dyDescent="0.35">
      <c r="A619">
        <v>2024</v>
      </c>
      <c r="B619">
        <v>9</v>
      </c>
      <c r="C619" t="s">
        <v>476</v>
      </c>
      <c r="D619" t="s">
        <v>41</v>
      </c>
      <c r="E619" t="s">
        <v>145</v>
      </c>
      <c r="F619" t="s">
        <v>326</v>
      </c>
      <c r="G619">
        <v>27210</v>
      </c>
    </row>
    <row r="620" spans="1:7" x14ac:dyDescent="0.35">
      <c r="A620">
        <v>2024</v>
      </c>
      <c r="B620">
        <v>9</v>
      </c>
      <c r="C620" t="s">
        <v>476</v>
      </c>
      <c r="D620" t="s">
        <v>7</v>
      </c>
      <c r="E620" t="s">
        <v>147</v>
      </c>
      <c r="F620" t="s">
        <v>328</v>
      </c>
      <c r="G620">
        <v>56184</v>
      </c>
    </row>
    <row r="621" spans="1:7" x14ac:dyDescent="0.35">
      <c r="A621">
        <v>2024</v>
      </c>
      <c r="B621">
        <v>9</v>
      </c>
      <c r="C621" t="s">
        <v>476</v>
      </c>
      <c r="D621" t="s">
        <v>67</v>
      </c>
      <c r="E621" t="s">
        <v>148</v>
      </c>
      <c r="F621" t="s">
        <v>329</v>
      </c>
      <c r="G621">
        <v>3238</v>
      </c>
    </row>
    <row r="622" spans="1:7" x14ac:dyDescent="0.35">
      <c r="A622">
        <v>2024</v>
      </c>
      <c r="B622">
        <v>9</v>
      </c>
      <c r="C622" t="s">
        <v>476</v>
      </c>
      <c r="D622" t="s">
        <v>67</v>
      </c>
      <c r="E622" t="s">
        <v>149</v>
      </c>
      <c r="F622" t="s">
        <v>330</v>
      </c>
      <c r="G622">
        <v>6832</v>
      </c>
    </row>
    <row r="623" spans="1:7" x14ac:dyDescent="0.35">
      <c r="A623">
        <v>2024</v>
      </c>
      <c r="B623">
        <v>9</v>
      </c>
      <c r="C623" t="s">
        <v>476</v>
      </c>
      <c r="D623" t="s">
        <v>67</v>
      </c>
      <c r="E623" t="s">
        <v>150</v>
      </c>
      <c r="F623" t="s">
        <v>331</v>
      </c>
      <c r="G623">
        <v>146046</v>
      </c>
    </row>
    <row r="624" spans="1:7" x14ac:dyDescent="0.35">
      <c r="A624">
        <v>2024</v>
      </c>
      <c r="B624">
        <v>9</v>
      </c>
      <c r="C624" t="s">
        <v>476</v>
      </c>
      <c r="D624" t="s">
        <v>67</v>
      </c>
      <c r="E624" t="s">
        <v>151</v>
      </c>
      <c r="F624" t="s">
        <v>332</v>
      </c>
      <c r="G624">
        <v>19136</v>
      </c>
    </row>
    <row r="625" spans="1:7" x14ac:dyDescent="0.35">
      <c r="A625">
        <v>2024</v>
      </c>
      <c r="B625">
        <v>9</v>
      </c>
      <c r="C625" t="s">
        <v>476</v>
      </c>
      <c r="D625" t="s">
        <v>67</v>
      </c>
      <c r="E625" t="s">
        <v>152</v>
      </c>
      <c r="F625" t="s">
        <v>333</v>
      </c>
      <c r="G625">
        <v>42471</v>
      </c>
    </row>
    <row r="626" spans="1:7" x14ac:dyDescent="0.35">
      <c r="A626">
        <v>2024</v>
      </c>
      <c r="B626">
        <v>9</v>
      </c>
      <c r="C626" t="s">
        <v>476</v>
      </c>
      <c r="D626" t="s">
        <v>93</v>
      </c>
      <c r="E626" t="s">
        <v>153</v>
      </c>
      <c r="F626" t="s">
        <v>334</v>
      </c>
      <c r="G626">
        <v>90633.02</v>
      </c>
    </row>
    <row r="627" spans="1:7" x14ac:dyDescent="0.35">
      <c r="A627">
        <v>2024</v>
      </c>
      <c r="B627">
        <v>9</v>
      </c>
      <c r="C627" t="s">
        <v>476</v>
      </c>
      <c r="D627" t="s">
        <v>93</v>
      </c>
      <c r="E627" t="s">
        <v>154</v>
      </c>
      <c r="F627" t="s">
        <v>335</v>
      </c>
      <c r="G627">
        <v>102613.2</v>
      </c>
    </row>
    <row r="628" spans="1:7" x14ac:dyDescent="0.35">
      <c r="A628">
        <v>2024</v>
      </c>
      <c r="B628">
        <v>9</v>
      </c>
      <c r="C628" t="s">
        <v>476</v>
      </c>
      <c r="D628" t="s">
        <v>89</v>
      </c>
      <c r="E628" t="s">
        <v>155</v>
      </c>
      <c r="F628" t="s">
        <v>336</v>
      </c>
      <c r="G628">
        <v>-55769.61</v>
      </c>
    </row>
    <row r="629" spans="1:7" x14ac:dyDescent="0.35">
      <c r="A629">
        <v>2024</v>
      </c>
      <c r="B629">
        <v>9</v>
      </c>
      <c r="C629" t="s">
        <v>476</v>
      </c>
      <c r="D629" t="s">
        <v>89</v>
      </c>
      <c r="E629" t="s">
        <v>156</v>
      </c>
      <c r="F629" t="s">
        <v>337</v>
      </c>
      <c r="G629">
        <v>272251.15999999997</v>
      </c>
    </row>
    <row r="630" spans="1:7" x14ac:dyDescent="0.35">
      <c r="A630">
        <v>2024</v>
      </c>
      <c r="B630">
        <v>9</v>
      </c>
      <c r="C630" t="s">
        <v>476</v>
      </c>
      <c r="D630" t="s">
        <v>61</v>
      </c>
      <c r="E630" t="s">
        <v>262</v>
      </c>
      <c r="F630" t="s">
        <v>442</v>
      </c>
      <c r="G630">
        <v>3300</v>
      </c>
    </row>
    <row r="631" spans="1:7" x14ac:dyDescent="0.35">
      <c r="A631">
        <v>2024</v>
      </c>
      <c r="B631">
        <v>9</v>
      </c>
      <c r="C631" t="s">
        <v>476</v>
      </c>
      <c r="D631" t="s">
        <v>8</v>
      </c>
      <c r="E631" t="s">
        <v>157</v>
      </c>
      <c r="F631" t="s">
        <v>338</v>
      </c>
      <c r="G631">
        <v>2800</v>
      </c>
    </row>
    <row r="632" spans="1:7" x14ac:dyDescent="0.35">
      <c r="A632">
        <v>2024</v>
      </c>
      <c r="B632">
        <v>9</v>
      </c>
      <c r="C632" t="s">
        <v>476</v>
      </c>
      <c r="D632" t="s">
        <v>20</v>
      </c>
      <c r="E632" t="s">
        <v>158</v>
      </c>
      <c r="F632" t="s">
        <v>339</v>
      </c>
      <c r="G632">
        <v>571372</v>
      </c>
    </row>
    <row r="633" spans="1:7" x14ac:dyDescent="0.35">
      <c r="A633">
        <v>2024</v>
      </c>
      <c r="B633">
        <v>9</v>
      </c>
      <c r="C633" t="s">
        <v>476</v>
      </c>
      <c r="D633" t="s">
        <v>21</v>
      </c>
      <c r="E633" t="s">
        <v>159</v>
      </c>
      <c r="F633" t="s">
        <v>340</v>
      </c>
      <c r="G633">
        <v>171420</v>
      </c>
    </row>
    <row r="634" spans="1:7" x14ac:dyDescent="0.35">
      <c r="A634">
        <v>2024</v>
      </c>
      <c r="B634">
        <v>9</v>
      </c>
      <c r="C634" t="s">
        <v>476</v>
      </c>
      <c r="D634" t="s">
        <v>160</v>
      </c>
      <c r="E634" t="s">
        <v>161</v>
      </c>
      <c r="F634" t="s">
        <v>341</v>
      </c>
      <c r="G634">
        <v>5426</v>
      </c>
    </row>
    <row r="635" spans="1:7" x14ac:dyDescent="0.35">
      <c r="A635">
        <v>2024</v>
      </c>
      <c r="B635">
        <v>9</v>
      </c>
      <c r="C635" t="s">
        <v>476</v>
      </c>
      <c r="D635" t="s">
        <v>22</v>
      </c>
      <c r="E635" t="s">
        <v>165</v>
      </c>
      <c r="F635" t="s">
        <v>344</v>
      </c>
      <c r="G635">
        <v>5567</v>
      </c>
    </row>
    <row r="636" spans="1:7" x14ac:dyDescent="0.35">
      <c r="A636">
        <v>2024</v>
      </c>
      <c r="B636">
        <v>9</v>
      </c>
      <c r="C636" t="s">
        <v>476</v>
      </c>
      <c r="D636" t="s">
        <v>27</v>
      </c>
      <c r="E636" t="s">
        <v>166</v>
      </c>
      <c r="F636" t="s">
        <v>345</v>
      </c>
      <c r="G636">
        <v>28000</v>
      </c>
    </row>
    <row r="637" spans="1:7" x14ac:dyDescent="0.35">
      <c r="A637">
        <v>2024</v>
      </c>
      <c r="B637">
        <v>9</v>
      </c>
      <c r="C637" t="s">
        <v>476</v>
      </c>
      <c r="D637" t="s">
        <v>167</v>
      </c>
      <c r="E637" t="s">
        <v>167</v>
      </c>
      <c r="F637" t="s">
        <v>346</v>
      </c>
      <c r="G637">
        <v>1076887</v>
      </c>
    </row>
    <row r="638" spans="1:7" x14ac:dyDescent="0.35">
      <c r="A638">
        <v>2024</v>
      </c>
      <c r="B638">
        <v>9</v>
      </c>
      <c r="C638" t="s">
        <v>476</v>
      </c>
      <c r="D638" t="s">
        <v>9</v>
      </c>
      <c r="E638" t="s">
        <v>168</v>
      </c>
      <c r="F638" t="s">
        <v>347</v>
      </c>
      <c r="G638">
        <v>3043</v>
      </c>
    </row>
    <row r="639" spans="1:7" x14ac:dyDescent="0.35">
      <c r="A639">
        <v>2024</v>
      </c>
      <c r="B639">
        <v>9</v>
      </c>
      <c r="C639" t="s">
        <v>476</v>
      </c>
      <c r="D639" t="s">
        <v>9</v>
      </c>
      <c r="E639" t="s">
        <v>169</v>
      </c>
      <c r="F639" t="s">
        <v>348</v>
      </c>
      <c r="G639">
        <v>21760</v>
      </c>
    </row>
    <row r="640" spans="1:7" x14ac:dyDescent="0.35">
      <c r="A640">
        <v>2024</v>
      </c>
      <c r="B640">
        <v>9</v>
      </c>
      <c r="C640" t="s">
        <v>476</v>
      </c>
      <c r="D640" t="s">
        <v>72</v>
      </c>
      <c r="E640" t="s">
        <v>170</v>
      </c>
      <c r="F640" t="s">
        <v>349</v>
      </c>
      <c r="G640">
        <v>44840</v>
      </c>
    </row>
    <row r="641" spans="1:7" x14ac:dyDescent="0.35">
      <c r="A641">
        <v>2024</v>
      </c>
      <c r="B641">
        <v>9</v>
      </c>
      <c r="C641" t="s">
        <v>476</v>
      </c>
      <c r="D641" t="s">
        <v>39</v>
      </c>
      <c r="E641" t="s">
        <v>171</v>
      </c>
      <c r="F641" t="s">
        <v>350</v>
      </c>
      <c r="G641">
        <v>18262</v>
      </c>
    </row>
    <row r="642" spans="1:7" x14ac:dyDescent="0.35">
      <c r="A642">
        <v>2024</v>
      </c>
      <c r="B642">
        <v>9</v>
      </c>
      <c r="C642" t="s">
        <v>476</v>
      </c>
      <c r="D642" t="s">
        <v>10</v>
      </c>
      <c r="E642" t="s">
        <v>172</v>
      </c>
      <c r="F642" t="s">
        <v>351</v>
      </c>
      <c r="G642">
        <v>6663</v>
      </c>
    </row>
    <row r="643" spans="1:7" x14ac:dyDescent="0.35">
      <c r="A643">
        <v>2024</v>
      </c>
      <c r="B643">
        <v>9</v>
      </c>
      <c r="C643" t="s">
        <v>476</v>
      </c>
      <c r="D643" t="s">
        <v>66</v>
      </c>
      <c r="E643" t="s">
        <v>173</v>
      </c>
      <c r="F643" t="s">
        <v>352</v>
      </c>
      <c r="G643">
        <v>431195</v>
      </c>
    </row>
    <row r="644" spans="1:7" x14ac:dyDescent="0.35">
      <c r="A644">
        <v>2024</v>
      </c>
      <c r="B644">
        <v>9</v>
      </c>
      <c r="C644" t="s">
        <v>476</v>
      </c>
      <c r="D644" t="s">
        <v>66</v>
      </c>
      <c r="E644" t="s">
        <v>174</v>
      </c>
      <c r="F644" t="s">
        <v>353</v>
      </c>
      <c r="G644">
        <v>28103</v>
      </c>
    </row>
    <row r="645" spans="1:7" x14ac:dyDescent="0.35">
      <c r="A645">
        <v>2024</v>
      </c>
      <c r="B645">
        <v>9</v>
      </c>
      <c r="C645" t="s">
        <v>476</v>
      </c>
      <c r="D645" t="s">
        <v>66</v>
      </c>
      <c r="E645" t="s">
        <v>175</v>
      </c>
      <c r="F645" t="s">
        <v>354</v>
      </c>
      <c r="G645">
        <v>483</v>
      </c>
    </row>
    <row r="646" spans="1:7" x14ac:dyDescent="0.35">
      <c r="A646">
        <v>2024</v>
      </c>
      <c r="B646">
        <v>9</v>
      </c>
      <c r="C646" t="s">
        <v>476</v>
      </c>
      <c r="D646" t="s">
        <v>66</v>
      </c>
      <c r="E646" t="s">
        <v>176</v>
      </c>
      <c r="F646" t="s">
        <v>355</v>
      </c>
      <c r="G646">
        <v>43555</v>
      </c>
    </row>
    <row r="647" spans="1:7" x14ac:dyDescent="0.35">
      <c r="A647">
        <v>2024</v>
      </c>
      <c r="B647">
        <v>9</v>
      </c>
      <c r="C647" t="s">
        <v>476</v>
      </c>
      <c r="D647" t="s">
        <v>66</v>
      </c>
      <c r="E647" t="s">
        <v>177</v>
      </c>
      <c r="F647" t="s">
        <v>356</v>
      </c>
      <c r="G647">
        <v>63281</v>
      </c>
    </row>
    <row r="648" spans="1:7" x14ac:dyDescent="0.35">
      <c r="A648">
        <v>2024</v>
      </c>
      <c r="B648">
        <v>9</v>
      </c>
      <c r="C648" t="s">
        <v>476</v>
      </c>
      <c r="D648" t="s">
        <v>66</v>
      </c>
      <c r="E648" t="s">
        <v>178</v>
      </c>
      <c r="F648" t="s">
        <v>357</v>
      </c>
      <c r="G648">
        <v>7163</v>
      </c>
    </row>
    <row r="649" spans="1:7" x14ac:dyDescent="0.35">
      <c r="A649">
        <v>2024</v>
      </c>
      <c r="B649">
        <v>9</v>
      </c>
      <c r="C649" t="s">
        <v>476</v>
      </c>
      <c r="D649" t="s">
        <v>11</v>
      </c>
      <c r="E649" t="s">
        <v>179</v>
      </c>
      <c r="F649" t="s">
        <v>180</v>
      </c>
      <c r="G649">
        <v>2858</v>
      </c>
    </row>
    <row r="650" spans="1:7" x14ac:dyDescent="0.35">
      <c r="A650">
        <v>2024</v>
      </c>
      <c r="B650">
        <v>9</v>
      </c>
      <c r="C650" t="s">
        <v>476</v>
      </c>
      <c r="D650" t="s">
        <v>74</v>
      </c>
      <c r="E650" t="s">
        <v>205</v>
      </c>
      <c r="F650" t="s">
        <v>384</v>
      </c>
      <c r="G650">
        <v>907</v>
      </c>
    </row>
    <row r="651" spans="1:7" x14ac:dyDescent="0.35">
      <c r="A651">
        <v>2024</v>
      </c>
      <c r="B651">
        <v>9</v>
      </c>
      <c r="C651" t="s">
        <v>476</v>
      </c>
      <c r="D651" t="s">
        <v>74</v>
      </c>
      <c r="E651" t="s">
        <v>298</v>
      </c>
      <c r="F651" t="s">
        <v>363</v>
      </c>
      <c r="G651">
        <v>16329</v>
      </c>
    </row>
    <row r="652" spans="1:7" x14ac:dyDescent="0.35">
      <c r="A652">
        <v>2024</v>
      </c>
      <c r="B652">
        <v>9</v>
      </c>
      <c r="C652" t="s">
        <v>476</v>
      </c>
      <c r="D652" t="s">
        <v>74</v>
      </c>
      <c r="E652" t="s">
        <v>266</v>
      </c>
      <c r="F652" t="s">
        <v>446</v>
      </c>
      <c r="G652">
        <v>6732</v>
      </c>
    </row>
    <row r="653" spans="1:7" x14ac:dyDescent="0.35">
      <c r="A653">
        <v>2024</v>
      </c>
      <c r="B653">
        <v>9</v>
      </c>
      <c r="C653" t="s">
        <v>476</v>
      </c>
      <c r="D653" t="s">
        <v>74</v>
      </c>
      <c r="E653" t="s">
        <v>268</v>
      </c>
      <c r="F653" t="s">
        <v>448</v>
      </c>
      <c r="G653">
        <v>3672</v>
      </c>
    </row>
    <row r="654" spans="1:7" x14ac:dyDescent="0.35">
      <c r="A654">
        <v>2024</v>
      </c>
      <c r="B654">
        <v>9</v>
      </c>
      <c r="C654" t="s">
        <v>476</v>
      </c>
      <c r="D654" t="s">
        <v>74</v>
      </c>
      <c r="E654" t="s">
        <v>271</v>
      </c>
      <c r="F654" t="s">
        <v>451</v>
      </c>
      <c r="G654">
        <v>15705</v>
      </c>
    </row>
    <row r="655" spans="1:7" x14ac:dyDescent="0.35">
      <c r="A655">
        <v>2024</v>
      </c>
      <c r="B655">
        <v>9</v>
      </c>
      <c r="C655" t="s">
        <v>476</v>
      </c>
      <c r="D655" t="s">
        <v>74</v>
      </c>
      <c r="E655" t="s">
        <v>283</v>
      </c>
      <c r="F655" t="s">
        <v>463</v>
      </c>
      <c r="G655">
        <v>1842</v>
      </c>
    </row>
    <row r="656" spans="1:7" x14ac:dyDescent="0.35">
      <c r="A656">
        <v>2024</v>
      </c>
      <c r="B656">
        <v>9</v>
      </c>
      <c r="C656" t="s">
        <v>476</v>
      </c>
      <c r="D656" t="s">
        <v>85</v>
      </c>
      <c r="E656" t="s">
        <v>188</v>
      </c>
      <c r="F656" t="s">
        <v>366</v>
      </c>
      <c r="G656">
        <v>1207943.95</v>
      </c>
    </row>
    <row r="657" spans="1:7" x14ac:dyDescent="0.35">
      <c r="A657">
        <v>2024</v>
      </c>
      <c r="B657">
        <v>9</v>
      </c>
      <c r="C657" t="s">
        <v>476</v>
      </c>
      <c r="D657" t="s">
        <v>106</v>
      </c>
      <c r="E657" t="s">
        <v>189</v>
      </c>
      <c r="F657" t="s">
        <v>367</v>
      </c>
      <c r="G657">
        <v>3207992</v>
      </c>
    </row>
    <row r="658" spans="1:7" x14ac:dyDescent="0.35">
      <c r="A658">
        <v>2024</v>
      </c>
      <c r="B658">
        <v>9</v>
      </c>
      <c r="C658" t="s">
        <v>476</v>
      </c>
      <c r="D658" t="s">
        <v>106</v>
      </c>
      <c r="E658" t="s">
        <v>190</v>
      </c>
      <c r="F658" t="s">
        <v>368</v>
      </c>
      <c r="G658">
        <v>108704</v>
      </c>
    </row>
    <row r="659" spans="1:7" x14ac:dyDescent="0.35">
      <c r="A659">
        <v>2024</v>
      </c>
      <c r="B659">
        <v>9</v>
      </c>
      <c r="C659" t="s">
        <v>476</v>
      </c>
      <c r="D659" t="s">
        <v>106</v>
      </c>
      <c r="E659" t="s">
        <v>191</v>
      </c>
      <c r="F659" t="s">
        <v>369</v>
      </c>
      <c r="G659">
        <v>789824</v>
      </c>
    </row>
    <row r="660" spans="1:7" x14ac:dyDescent="0.35">
      <c r="A660">
        <v>2024</v>
      </c>
      <c r="B660">
        <v>9</v>
      </c>
      <c r="C660" t="s">
        <v>476</v>
      </c>
      <c r="D660" t="s">
        <v>106</v>
      </c>
      <c r="E660" t="s">
        <v>192</v>
      </c>
      <c r="F660" t="s">
        <v>370</v>
      </c>
      <c r="G660">
        <v>286972</v>
      </c>
    </row>
    <row r="661" spans="1:7" x14ac:dyDescent="0.35">
      <c r="A661">
        <v>2024</v>
      </c>
      <c r="B661">
        <v>9</v>
      </c>
      <c r="C661" t="s">
        <v>476</v>
      </c>
      <c r="D661" t="s">
        <v>106</v>
      </c>
      <c r="E661" t="s">
        <v>284</v>
      </c>
      <c r="F661" t="s">
        <v>464</v>
      </c>
      <c r="G661">
        <v>82252</v>
      </c>
    </row>
    <row r="662" spans="1:7" x14ac:dyDescent="0.35">
      <c r="A662">
        <v>2024</v>
      </c>
      <c r="B662">
        <v>9</v>
      </c>
      <c r="C662" t="s">
        <v>476</v>
      </c>
      <c r="D662" t="s">
        <v>106</v>
      </c>
      <c r="E662" t="s">
        <v>193</v>
      </c>
      <c r="F662" t="s">
        <v>371</v>
      </c>
      <c r="G662">
        <v>32298</v>
      </c>
    </row>
    <row r="663" spans="1:7" x14ac:dyDescent="0.35">
      <c r="A663">
        <v>2024</v>
      </c>
      <c r="B663">
        <v>9</v>
      </c>
      <c r="C663" t="s">
        <v>476</v>
      </c>
      <c r="D663" t="s">
        <v>106</v>
      </c>
      <c r="E663" t="s">
        <v>194</v>
      </c>
      <c r="F663" t="s">
        <v>372</v>
      </c>
      <c r="G663">
        <v>2400</v>
      </c>
    </row>
    <row r="664" spans="1:7" x14ac:dyDescent="0.35">
      <c r="A664">
        <v>2024</v>
      </c>
      <c r="B664">
        <v>9</v>
      </c>
      <c r="C664" t="s">
        <v>476</v>
      </c>
      <c r="D664" t="s">
        <v>106</v>
      </c>
      <c r="E664" t="s">
        <v>195</v>
      </c>
      <c r="F664" t="s">
        <v>373</v>
      </c>
      <c r="G664">
        <v>120467</v>
      </c>
    </row>
    <row r="665" spans="1:7" x14ac:dyDescent="0.35">
      <c r="A665">
        <v>2024</v>
      </c>
      <c r="B665">
        <v>9</v>
      </c>
      <c r="C665" t="s">
        <v>476</v>
      </c>
      <c r="D665" t="s">
        <v>75</v>
      </c>
      <c r="E665" t="s">
        <v>204</v>
      </c>
      <c r="F665" t="s">
        <v>383</v>
      </c>
      <c r="G665">
        <v>399000</v>
      </c>
    </row>
    <row r="666" spans="1:7" x14ac:dyDescent="0.35">
      <c r="A666">
        <v>2024</v>
      </c>
      <c r="B666">
        <v>9</v>
      </c>
      <c r="C666" t="s">
        <v>476</v>
      </c>
      <c r="D666" t="s">
        <v>23</v>
      </c>
      <c r="E666" t="s">
        <v>206</v>
      </c>
      <c r="F666" t="s">
        <v>385</v>
      </c>
      <c r="G666">
        <v>10803</v>
      </c>
    </row>
    <row r="667" spans="1:7" x14ac:dyDescent="0.35">
      <c r="A667">
        <v>2024</v>
      </c>
      <c r="B667">
        <v>9</v>
      </c>
      <c r="C667" t="s">
        <v>476</v>
      </c>
      <c r="D667" t="s">
        <v>24</v>
      </c>
      <c r="E667" t="s">
        <v>207</v>
      </c>
      <c r="F667" t="s">
        <v>386</v>
      </c>
      <c r="G667">
        <v>108525</v>
      </c>
    </row>
    <row r="668" spans="1:7" x14ac:dyDescent="0.35">
      <c r="A668">
        <v>2024</v>
      </c>
      <c r="B668">
        <v>9</v>
      </c>
      <c r="C668" t="s">
        <v>476</v>
      </c>
      <c r="D668" t="s">
        <v>114</v>
      </c>
      <c r="E668" t="s">
        <v>295</v>
      </c>
      <c r="F668" t="s">
        <v>479</v>
      </c>
      <c r="G668">
        <v>4574</v>
      </c>
    </row>
    <row r="669" spans="1:7" x14ac:dyDescent="0.35">
      <c r="A669">
        <v>2024</v>
      </c>
      <c r="B669">
        <v>9</v>
      </c>
      <c r="C669" t="s">
        <v>476</v>
      </c>
      <c r="D669" t="s">
        <v>519</v>
      </c>
      <c r="E669" t="s">
        <v>202</v>
      </c>
      <c r="F669" t="s">
        <v>380</v>
      </c>
      <c r="G669">
        <v>2600</v>
      </c>
    </row>
    <row r="670" spans="1:7" x14ac:dyDescent="0.35">
      <c r="A670">
        <v>2024</v>
      </c>
      <c r="B670">
        <v>9</v>
      </c>
      <c r="C670" t="s">
        <v>476</v>
      </c>
      <c r="D670" t="s">
        <v>519</v>
      </c>
      <c r="E670" t="s">
        <v>203</v>
      </c>
      <c r="F670" t="s">
        <v>381</v>
      </c>
      <c r="G670">
        <v>31447.39</v>
      </c>
    </row>
    <row r="671" spans="1:7" x14ac:dyDescent="0.35">
      <c r="A671">
        <v>2024</v>
      </c>
      <c r="B671">
        <v>9</v>
      </c>
      <c r="C671" t="s">
        <v>476</v>
      </c>
      <c r="D671" t="s">
        <v>519</v>
      </c>
      <c r="E671" t="s">
        <v>196</v>
      </c>
      <c r="F671" t="s">
        <v>382</v>
      </c>
      <c r="G671">
        <v>2.0499999999999998</v>
      </c>
    </row>
    <row r="672" spans="1:7" x14ac:dyDescent="0.35">
      <c r="A672">
        <v>2024</v>
      </c>
      <c r="B672">
        <v>9</v>
      </c>
      <c r="C672" t="s">
        <v>476</v>
      </c>
      <c r="D672" t="s">
        <v>519</v>
      </c>
      <c r="E672" t="s">
        <v>285</v>
      </c>
      <c r="F672" t="s">
        <v>465</v>
      </c>
      <c r="G672">
        <v>5094.6499999999996</v>
      </c>
    </row>
    <row r="673" spans="1:7" x14ac:dyDescent="0.35">
      <c r="A673">
        <v>2024</v>
      </c>
      <c r="B673">
        <v>9</v>
      </c>
      <c r="C673" t="s">
        <v>476</v>
      </c>
      <c r="D673" t="s">
        <v>520</v>
      </c>
      <c r="E673" t="s">
        <v>241</v>
      </c>
      <c r="F673" t="s">
        <v>420</v>
      </c>
      <c r="G673">
        <v>744</v>
      </c>
    </row>
    <row r="674" spans="1:7" x14ac:dyDescent="0.35">
      <c r="A674">
        <v>2024</v>
      </c>
      <c r="B674">
        <v>9</v>
      </c>
      <c r="C674" t="s">
        <v>476</v>
      </c>
      <c r="D674" t="s">
        <v>520</v>
      </c>
      <c r="E674" t="s">
        <v>208</v>
      </c>
      <c r="F674" t="s">
        <v>387</v>
      </c>
      <c r="G674">
        <v>5</v>
      </c>
    </row>
    <row r="675" spans="1:7" x14ac:dyDescent="0.35">
      <c r="A675">
        <v>2024</v>
      </c>
      <c r="B675">
        <v>9</v>
      </c>
      <c r="C675" t="s">
        <v>476</v>
      </c>
      <c r="D675" t="s">
        <v>520</v>
      </c>
      <c r="E675" t="s">
        <v>134</v>
      </c>
      <c r="F675" t="s">
        <v>315</v>
      </c>
      <c r="G675">
        <v>5000</v>
      </c>
    </row>
    <row r="676" spans="1:7" x14ac:dyDescent="0.35">
      <c r="A676">
        <v>2024</v>
      </c>
      <c r="B676">
        <v>9</v>
      </c>
      <c r="C676" t="s">
        <v>476</v>
      </c>
      <c r="D676" t="s">
        <v>520</v>
      </c>
      <c r="E676" t="s">
        <v>196</v>
      </c>
      <c r="F676" t="s">
        <v>374</v>
      </c>
      <c r="G676">
        <v>4</v>
      </c>
    </row>
    <row r="677" spans="1:7" x14ac:dyDescent="0.35">
      <c r="A677">
        <v>2024</v>
      </c>
      <c r="B677">
        <v>9</v>
      </c>
      <c r="C677" t="s">
        <v>476</v>
      </c>
      <c r="D677" t="s">
        <v>520</v>
      </c>
      <c r="E677" t="s">
        <v>197</v>
      </c>
      <c r="F677" t="s">
        <v>375</v>
      </c>
      <c r="G677">
        <v>44685</v>
      </c>
    </row>
    <row r="678" spans="1:7" x14ac:dyDescent="0.35">
      <c r="A678">
        <v>2024</v>
      </c>
      <c r="B678">
        <v>9</v>
      </c>
      <c r="C678" t="s">
        <v>476</v>
      </c>
      <c r="D678" t="s">
        <v>520</v>
      </c>
      <c r="E678" t="s">
        <v>198</v>
      </c>
      <c r="F678" t="s">
        <v>376</v>
      </c>
      <c r="G678">
        <v>1905</v>
      </c>
    </row>
    <row r="679" spans="1:7" x14ac:dyDescent="0.35">
      <c r="A679">
        <v>2024</v>
      </c>
      <c r="B679">
        <v>9</v>
      </c>
      <c r="C679" t="s">
        <v>476</v>
      </c>
      <c r="D679" t="s">
        <v>520</v>
      </c>
      <c r="E679" t="s">
        <v>294</v>
      </c>
      <c r="F679" t="s">
        <v>478</v>
      </c>
      <c r="G679">
        <v>43</v>
      </c>
    </row>
    <row r="680" spans="1:7" x14ac:dyDescent="0.35">
      <c r="A680">
        <v>2024</v>
      </c>
      <c r="B680">
        <v>9</v>
      </c>
      <c r="C680" t="s">
        <v>476</v>
      </c>
      <c r="D680" t="s">
        <v>520</v>
      </c>
      <c r="E680" t="s">
        <v>199</v>
      </c>
      <c r="F680" t="s">
        <v>377</v>
      </c>
      <c r="G680">
        <v>56</v>
      </c>
    </row>
    <row r="681" spans="1:7" x14ac:dyDescent="0.35">
      <c r="A681">
        <v>2024</v>
      </c>
      <c r="B681">
        <v>9</v>
      </c>
      <c r="C681" t="s">
        <v>476</v>
      </c>
      <c r="D681" t="s">
        <v>520</v>
      </c>
      <c r="E681" t="s">
        <v>200</v>
      </c>
      <c r="F681" t="s">
        <v>378</v>
      </c>
      <c r="G681">
        <v>2951</v>
      </c>
    </row>
    <row r="682" spans="1:7" x14ac:dyDescent="0.35">
      <c r="A682">
        <v>2024</v>
      </c>
      <c r="B682">
        <v>9</v>
      </c>
      <c r="C682" t="s">
        <v>476</v>
      </c>
      <c r="D682" t="s">
        <v>520</v>
      </c>
      <c r="E682" t="s">
        <v>201</v>
      </c>
      <c r="F682" t="s">
        <v>379</v>
      </c>
      <c r="G682">
        <v>34376</v>
      </c>
    </row>
    <row r="683" spans="1:7" x14ac:dyDescent="0.35">
      <c r="A683">
        <v>2024</v>
      </c>
      <c r="B683">
        <v>9</v>
      </c>
      <c r="C683" t="s">
        <v>476</v>
      </c>
      <c r="D683" t="s">
        <v>33</v>
      </c>
      <c r="E683" t="s">
        <v>209</v>
      </c>
      <c r="F683" t="s">
        <v>388</v>
      </c>
      <c r="G683">
        <v>104476</v>
      </c>
    </row>
    <row r="684" spans="1:7" x14ac:dyDescent="0.35">
      <c r="A684">
        <v>2024</v>
      </c>
      <c r="B684">
        <v>9</v>
      </c>
      <c r="C684" t="s">
        <v>476</v>
      </c>
      <c r="D684" t="s">
        <v>12</v>
      </c>
      <c r="E684" t="s">
        <v>210</v>
      </c>
      <c r="F684" t="s">
        <v>389</v>
      </c>
      <c r="G684">
        <v>2031</v>
      </c>
    </row>
    <row r="685" spans="1:7" x14ac:dyDescent="0.35">
      <c r="A685">
        <v>2024</v>
      </c>
      <c r="B685">
        <v>9</v>
      </c>
      <c r="C685" t="s">
        <v>476</v>
      </c>
      <c r="D685" t="s">
        <v>12</v>
      </c>
      <c r="E685" t="s">
        <v>212</v>
      </c>
      <c r="F685" t="s">
        <v>391</v>
      </c>
      <c r="G685">
        <v>4446</v>
      </c>
    </row>
    <row r="686" spans="1:7" x14ac:dyDescent="0.35">
      <c r="A686">
        <v>2024</v>
      </c>
      <c r="B686">
        <v>9</v>
      </c>
      <c r="C686" t="s">
        <v>476</v>
      </c>
      <c r="D686" t="s">
        <v>12</v>
      </c>
      <c r="E686" t="s">
        <v>273</v>
      </c>
      <c r="F686" t="s">
        <v>453</v>
      </c>
      <c r="G686">
        <v>1294</v>
      </c>
    </row>
    <row r="687" spans="1:7" x14ac:dyDescent="0.35">
      <c r="A687">
        <v>2024</v>
      </c>
      <c r="B687">
        <v>9</v>
      </c>
      <c r="C687" t="s">
        <v>476</v>
      </c>
      <c r="D687" t="s">
        <v>12</v>
      </c>
      <c r="E687" t="s">
        <v>213</v>
      </c>
      <c r="F687" t="s">
        <v>392</v>
      </c>
      <c r="G687">
        <v>6433</v>
      </c>
    </row>
    <row r="688" spans="1:7" x14ac:dyDescent="0.35">
      <c r="A688">
        <v>2024</v>
      </c>
      <c r="B688">
        <v>9</v>
      </c>
      <c r="C688" t="s">
        <v>476</v>
      </c>
      <c r="D688" t="s">
        <v>12</v>
      </c>
      <c r="E688" t="s">
        <v>299</v>
      </c>
      <c r="F688" t="s">
        <v>393</v>
      </c>
      <c r="G688">
        <v>10065</v>
      </c>
    </row>
    <row r="689" spans="1:7" x14ac:dyDescent="0.35">
      <c r="A689">
        <v>2024</v>
      </c>
      <c r="B689">
        <v>9</v>
      </c>
      <c r="C689" t="s">
        <v>476</v>
      </c>
      <c r="D689" t="s">
        <v>12</v>
      </c>
      <c r="E689" t="s">
        <v>214</v>
      </c>
      <c r="F689" t="s">
        <v>394</v>
      </c>
      <c r="G689">
        <v>3176</v>
      </c>
    </row>
    <row r="690" spans="1:7" x14ac:dyDescent="0.35">
      <c r="A690">
        <v>2024</v>
      </c>
      <c r="B690">
        <v>9</v>
      </c>
      <c r="C690" t="s">
        <v>476</v>
      </c>
      <c r="D690" t="s">
        <v>12</v>
      </c>
      <c r="E690" t="s">
        <v>215</v>
      </c>
      <c r="F690" t="s">
        <v>395</v>
      </c>
      <c r="G690">
        <v>2317</v>
      </c>
    </row>
    <row r="691" spans="1:7" x14ac:dyDescent="0.35">
      <c r="A691">
        <v>2024</v>
      </c>
      <c r="B691">
        <v>9</v>
      </c>
      <c r="C691" t="s">
        <v>476</v>
      </c>
      <c r="D691" t="s">
        <v>12</v>
      </c>
      <c r="E691" t="s">
        <v>216</v>
      </c>
      <c r="F691" t="s">
        <v>396</v>
      </c>
      <c r="G691">
        <v>17228</v>
      </c>
    </row>
    <row r="692" spans="1:7" x14ac:dyDescent="0.35">
      <c r="A692">
        <v>2024</v>
      </c>
      <c r="B692">
        <v>9</v>
      </c>
      <c r="C692" t="s">
        <v>476</v>
      </c>
      <c r="D692" t="s">
        <v>12</v>
      </c>
      <c r="E692" t="s">
        <v>217</v>
      </c>
      <c r="F692" t="s">
        <v>397</v>
      </c>
      <c r="G692">
        <v>3511</v>
      </c>
    </row>
    <row r="693" spans="1:7" x14ac:dyDescent="0.35">
      <c r="A693">
        <v>2024</v>
      </c>
      <c r="B693">
        <v>9</v>
      </c>
      <c r="C693" t="s">
        <v>476</v>
      </c>
      <c r="D693" t="s">
        <v>12</v>
      </c>
      <c r="E693" t="s">
        <v>218</v>
      </c>
      <c r="F693" t="s">
        <v>398</v>
      </c>
      <c r="G693">
        <v>5830</v>
      </c>
    </row>
    <row r="694" spans="1:7" x14ac:dyDescent="0.35">
      <c r="A694">
        <v>2024</v>
      </c>
      <c r="B694">
        <v>9</v>
      </c>
      <c r="C694" t="s">
        <v>476</v>
      </c>
      <c r="D694" t="s">
        <v>12</v>
      </c>
      <c r="E694" t="s">
        <v>219</v>
      </c>
      <c r="F694" t="s">
        <v>399</v>
      </c>
      <c r="G694">
        <v>4440</v>
      </c>
    </row>
    <row r="695" spans="1:7" x14ac:dyDescent="0.35">
      <c r="A695">
        <v>2024</v>
      </c>
      <c r="B695">
        <v>9</v>
      </c>
      <c r="C695" t="s">
        <v>476</v>
      </c>
      <c r="D695" t="s">
        <v>12</v>
      </c>
      <c r="E695" t="s">
        <v>220</v>
      </c>
      <c r="F695" t="s">
        <v>400</v>
      </c>
      <c r="G695">
        <v>1305</v>
      </c>
    </row>
    <row r="696" spans="1:7" x14ac:dyDescent="0.35">
      <c r="A696">
        <v>2024</v>
      </c>
      <c r="B696">
        <v>9</v>
      </c>
      <c r="C696" t="s">
        <v>476</v>
      </c>
      <c r="D696" t="s">
        <v>12</v>
      </c>
      <c r="E696" t="s">
        <v>221</v>
      </c>
      <c r="F696" t="s">
        <v>401</v>
      </c>
      <c r="G696">
        <v>886</v>
      </c>
    </row>
    <row r="697" spans="1:7" x14ac:dyDescent="0.35">
      <c r="A697">
        <v>2024</v>
      </c>
      <c r="B697">
        <v>9</v>
      </c>
      <c r="C697" t="s">
        <v>476</v>
      </c>
      <c r="D697" t="s">
        <v>12</v>
      </c>
      <c r="E697" t="s">
        <v>222</v>
      </c>
      <c r="F697" t="s">
        <v>402</v>
      </c>
      <c r="G697">
        <v>2695</v>
      </c>
    </row>
    <row r="698" spans="1:7" x14ac:dyDescent="0.35">
      <c r="A698">
        <v>2024</v>
      </c>
      <c r="B698">
        <v>9</v>
      </c>
      <c r="C698" t="s">
        <v>476</v>
      </c>
      <c r="D698" t="s">
        <v>28</v>
      </c>
      <c r="E698" t="s">
        <v>223</v>
      </c>
      <c r="F698" t="s">
        <v>403</v>
      </c>
      <c r="G698">
        <v>52186</v>
      </c>
    </row>
    <row r="699" spans="1:7" x14ac:dyDescent="0.35">
      <c r="A699">
        <v>2024</v>
      </c>
      <c r="B699">
        <v>9</v>
      </c>
      <c r="C699" t="s">
        <v>476</v>
      </c>
      <c r="D699" t="s">
        <v>28</v>
      </c>
      <c r="E699" t="s">
        <v>224</v>
      </c>
      <c r="F699" t="s">
        <v>404</v>
      </c>
      <c r="G699">
        <v>14937</v>
      </c>
    </row>
    <row r="700" spans="1:7" x14ac:dyDescent="0.35">
      <c r="A700">
        <v>2024</v>
      </c>
      <c r="B700">
        <v>9</v>
      </c>
      <c r="C700" t="s">
        <v>476</v>
      </c>
      <c r="D700" t="s">
        <v>64</v>
      </c>
      <c r="E700" t="s">
        <v>225</v>
      </c>
      <c r="F700" t="s">
        <v>405</v>
      </c>
      <c r="G700">
        <v>2807</v>
      </c>
    </row>
    <row r="701" spans="1:7" x14ac:dyDescent="0.35">
      <c r="A701">
        <v>2024</v>
      </c>
      <c r="B701">
        <v>9</v>
      </c>
      <c r="C701" t="s">
        <v>476</v>
      </c>
      <c r="D701" t="s">
        <v>29</v>
      </c>
      <c r="E701" t="s">
        <v>226</v>
      </c>
      <c r="F701" t="s">
        <v>406</v>
      </c>
      <c r="G701">
        <v>1228</v>
      </c>
    </row>
    <row r="702" spans="1:7" x14ac:dyDescent="0.35">
      <c r="A702">
        <v>2024</v>
      </c>
      <c r="B702">
        <v>9</v>
      </c>
      <c r="C702" t="s">
        <v>476</v>
      </c>
      <c r="D702" t="s">
        <v>102</v>
      </c>
      <c r="E702" t="s">
        <v>227</v>
      </c>
      <c r="F702" t="s">
        <v>407</v>
      </c>
      <c r="G702">
        <v>103101</v>
      </c>
    </row>
    <row r="703" spans="1:7" x14ac:dyDescent="0.35">
      <c r="A703">
        <v>2024</v>
      </c>
      <c r="B703">
        <v>9</v>
      </c>
      <c r="C703" t="s">
        <v>476</v>
      </c>
      <c r="D703" t="s">
        <v>25</v>
      </c>
      <c r="E703" t="s">
        <v>274</v>
      </c>
      <c r="F703" t="s">
        <v>454</v>
      </c>
      <c r="G703">
        <v>179271</v>
      </c>
    </row>
    <row r="704" spans="1:7" x14ac:dyDescent="0.35">
      <c r="A704">
        <v>2024</v>
      </c>
      <c r="B704">
        <v>9</v>
      </c>
      <c r="C704" t="s">
        <v>476</v>
      </c>
      <c r="D704" t="s">
        <v>229</v>
      </c>
      <c r="E704" t="s">
        <v>230</v>
      </c>
      <c r="F704" t="s">
        <v>409</v>
      </c>
      <c r="G704">
        <v>-166962</v>
      </c>
    </row>
    <row r="705" spans="1:7" x14ac:dyDescent="0.35">
      <c r="A705">
        <v>2024</v>
      </c>
      <c r="B705">
        <v>9</v>
      </c>
      <c r="C705" t="s">
        <v>476</v>
      </c>
      <c r="D705" t="s">
        <v>231</v>
      </c>
      <c r="E705" t="s">
        <v>231</v>
      </c>
      <c r="F705" t="s">
        <v>410</v>
      </c>
      <c r="G705">
        <v>4060</v>
      </c>
    </row>
    <row r="706" spans="1:7" x14ac:dyDescent="0.35">
      <c r="A706">
        <v>2024</v>
      </c>
      <c r="B706">
        <v>9</v>
      </c>
      <c r="C706" t="s">
        <v>476</v>
      </c>
      <c r="D706" t="s">
        <v>13</v>
      </c>
      <c r="E706" t="s">
        <v>232</v>
      </c>
      <c r="F706" t="s">
        <v>411</v>
      </c>
      <c r="G706">
        <v>80</v>
      </c>
    </row>
    <row r="707" spans="1:7" x14ac:dyDescent="0.35">
      <c r="A707">
        <v>2024</v>
      </c>
      <c r="B707">
        <v>9</v>
      </c>
      <c r="C707" t="s">
        <v>476</v>
      </c>
      <c r="D707" t="s">
        <v>94</v>
      </c>
      <c r="E707" t="s">
        <v>233</v>
      </c>
      <c r="F707" t="s">
        <v>412</v>
      </c>
      <c r="G707">
        <v>48397</v>
      </c>
    </row>
    <row r="708" spans="1:7" x14ac:dyDescent="0.35">
      <c r="A708">
        <v>2024</v>
      </c>
      <c r="B708">
        <v>9</v>
      </c>
      <c r="C708" t="s">
        <v>476</v>
      </c>
      <c r="D708" t="s">
        <v>36</v>
      </c>
      <c r="E708" t="s">
        <v>275</v>
      </c>
      <c r="F708" t="s">
        <v>455</v>
      </c>
      <c r="G708">
        <v>9073</v>
      </c>
    </row>
    <row r="709" spans="1:7" x14ac:dyDescent="0.35">
      <c r="A709">
        <v>2024</v>
      </c>
      <c r="B709">
        <v>9</v>
      </c>
      <c r="C709" t="s">
        <v>476</v>
      </c>
      <c r="D709" t="s">
        <v>40</v>
      </c>
      <c r="E709" t="s">
        <v>235</v>
      </c>
      <c r="F709" t="s">
        <v>414</v>
      </c>
      <c r="G709">
        <v>17453</v>
      </c>
    </row>
    <row r="710" spans="1:7" x14ac:dyDescent="0.35">
      <c r="A710">
        <v>2024</v>
      </c>
      <c r="B710">
        <v>9</v>
      </c>
      <c r="C710" t="s">
        <v>476</v>
      </c>
      <c r="D710" t="s">
        <v>45</v>
      </c>
      <c r="E710" t="s">
        <v>276</v>
      </c>
      <c r="F710" t="s">
        <v>456</v>
      </c>
      <c r="G710">
        <v>50865</v>
      </c>
    </row>
    <row r="711" spans="1:7" x14ac:dyDescent="0.35">
      <c r="A711">
        <v>2024</v>
      </c>
      <c r="B711">
        <v>9</v>
      </c>
      <c r="C711" t="s">
        <v>476</v>
      </c>
      <c r="D711" t="s">
        <v>76</v>
      </c>
      <c r="E711" t="s">
        <v>236</v>
      </c>
      <c r="F711" t="s">
        <v>415</v>
      </c>
      <c r="G711">
        <v>1076887</v>
      </c>
    </row>
    <row r="712" spans="1:7" x14ac:dyDescent="0.35">
      <c r="A712">
        <v>2024</v>
      </c>
      <c r="B712">
        <v>9</v>
      </c>
      <c r="C712" t="s">
        <v>476</v>
      </c>
      <c r="D712" t="s">
        <v>76</v>
      </c>
      <c r="E712" t="s">
        <v>237</v>
      </c>
      <c r="F712" t="s">
        <v>416</v>
      </c>
      <c r="G712">
        <v>103100.65</v>
      </c>
    </row>
    <row r="713" spans="1:7" x14ac:dyDescent="0.35">
      <c r="A713">
        <v>2024</v>
      </c>
      <c r="B713">
        <v>9</v>
      </c>
      <c r="C713" t="s">
        <v>476</v>
      </c>
      <c r="D713" t="s">
        <v>76</v>
      </c>
      <c r="E713" t="s">
        <v>238</v>
      </c>
      <c r="F713" t="s">
        <v>417</v>
      </c>
      <c r="G713">
        <v>466059.75</v>
      </c>
    </row>
    <row r="714" spans="1:7" x14ac:dyDescent="0.35">
      <c r="A714">
        <v>2024</v>
      </c>
      <c r="B714">
        <v>9</v>
      </c>
      <c r="C714" t="s">
        <v>476</v>
      </c>
      <c r="D714" t="s">
        <v>76</v>
      </c>
      <c r="E714" t="s">
        <v>239</v>
      </c>
      <c r="F714" t="s">
        <v>418</v>
      </c>
      <c r="G714">
        <v>-3106453.51</v>
      </c>
    </row>
    <row r="715" spans="1:7" x14ac:dyDescent="0.35">
      <c r="A715">
        <v>2024</v>
      </c>
      <c r="B715">
        <v>9</v>
      </c>
      <c r="C715" t="s">
        <v>476</v>
      </c>
      <c r="D715" t="s">
        <v>35</v>
      </c>
      <c r="E715" t="s">
        <v>240</v>
      </c>
      <c r="F715" t="s">
        <v>419</v>
      </c>
      <c r="G715">
        <v>159122.57999999999</v>
      </c>
    </row>
    <row r="716" spans="1:7" x14ac:dyDescent="0.35">
      <c r="A716">
        <v>2024</v>
      </c>
      <c r="B716">
        <v>9</v>
      </c>
      <c r="C716" t="s">
        <v>476</v>
      </c>
      <c r="D716" t="s">
        <v>103</v>
      </c>
      <c r="E716" t="s">
        <v>242</v>
      </c>
      <c r="F716" t="s">
        <v>421</v>
      </c>
      <c r="G716">
        <v>466060</v>
      </c>
    </row>
    <row r="717" spans="1:7" x14ac:dyDescent="0.35">
      <c r="A717">
        <v>2024</v>
      </c>
      <c r="B717">
        <v>9</v>
      </c>
      <c r="C717" t="s">
        <v>476</v>
      </c>
      <c r="D717" t="s">
        <v>104</v>
      </c>
      <c r="E717" t="s">
        <v>243</v>
      </c>
      <c r="F717" t="s">
        <v>422</v>
      </c>
      <c r="G717">
        <v>-3106454</v>
      </c>
    </row>
    <row r="718" spans="1:7" x14ac:dyDescent="0.35">
      <c r="A718">
        <v>2024</v>
      </c>
      <c r="B718">
        <v>9</v>
      </c>
      <c r="C718" t="s">
        <v>476</v>
      </c>
      <c r="D718" t="s">
        <v>244</v>
      </c>
      <c r="E718" t="s">
        <v>245</v>
      </c>
      <c r="F718" t="s">
        <v>423</v>
      </c>
      <c r="G718">
        <v>-767419</v>
      </c>
    </row>
    <row r="719" spans="1:7" x14ac:dyDescent="0.35">
      <c r="A719">
        <v>2024</v>
      </c>
      <c r="B719">
        <v>9</v>
      </c>
      <c r="C719" t="s">
        <v>476</v>
      </c>
      <c r="D719" t="s">
        <v>14</v>
      </c>
      <c r="E719" t="s">
        <v>131</v>
      </c>
      <c r="F719" t="s">
        <v>425</v>
      </c>
      <c r="G719">
        <v>262468</v>
      </c>
    </row>
    <row r="720" spans="1:7" x14ac:dyDescent="0.35">
      <c r="A720">
        <v>2024</v>
      </c>
      <c r="B720">
        <v>9</v>
      </c>
      <c r="C720" t="s">
        <v>476</v>
      </c>
      <c r="D720" t="s">
        <v>30</v>
      </c>
      <c r="E720" t="s">
        <v>247</v>
      </c>
      <c r="F720" t="s">
        <v>426</v>
      </c>
      <c r="G720">
        <v>19137</v>
      </c>
    </row>
    <row r="721" spans="1:7" x14ac:dyDescent="0.35">
      <c r="A721">
        <v>2024</v>
      </c>
      <c r="B721">
        <v>9</v>
      </c>
      <c r="C721" t="s">
        <v>476</v>
      </c>
      <c r="D721" t="s">
        <v>15</v>
      </c>
      <c r="E721" t="s">
        <v>248</v>
      </c>
      <c r="F721" t="s">
        <v>427</v>
      </c>
      <c r="G721">
        <v>32406</v>
      </c>
    </row>
    <row r="722" spans="1:7" x14ac:dyDescent="0.35">
      <c r="A722">
        <v>2024</v>
      </c>
      <c r="B722">
        <v>9</v>
      </c>
      <c r="C722" t="s">
        <v>476</v>
      </c>
      <c r="D722" t="s">
        <v>90</v>
      </c>
      <c r="E722" t="s">
        <v>277</v>
      </c>
      <c r="F722" t="s">
        <v>457</v>
      </c>
      <c r="G722">
        <v>120909.09</v>
      </c>
    </row>
    <row r="723" spans="1:7" x14ac:dyDescent="0.35">
      <c r="A723">
        <v>2024</v>
      </c>
      <c r="B723">
        <v>9</v>
      </c>
      <c r="C723" t="s">
        <v>476</v>
      </c>
      <c r="D723" t="s">
        <v>84</v>
      </c>
      <c r="E723" t="s">
        <v>250</v>
      </c>
      <c r="F723" t="s">
        <v>429</v>
      </c>
      <c r="G723">
        <v>1028031.62</v>
      </c>
    </row>
    <row r="724" spans="1:7" x14ac:dyDescent="0.35">
      <c r="A724">
        <v>2024</v>
      </c>
      <c r="B724">
        <v>9</v>
      </c>
      <c r="C724" t="s">
        <v>476</v>
      </c>
      <c r="D724" t="s">
        <v>81</v>
      </c>
      <c r="E724" t="s">
        <v>251</v>
      </c>
      <c r="F724" t="s">
        <v>430</v>
      </c>
      <c r="G724">
        <v>4595985.04</v>
      </c>
    </row>
    <row r="725" spans="1:7" x14ac:dyDescent="0.35">
      <c r="A725">
        <v>2024</v>
      </c>
      <c r="B725">
        <v>9</v>
      </c>
      <c r="C725" t="s">
        <v>476</v>
      </c>
      <c r="D725" t="s">
        <v>81</v>
      </c>
      <c r="E725" t="s">
        <v>252</v>
      </c>
      <c r="F725" t="s">
        <v>431</v>
      </c>
      <c r="G725">
        <v>5133488.18</v>
      </c>
    </row>
    <row r="726" spans="1:7" x14ac:dyDescent="0.35">
      <c r="A726">
        <v>2024</v>
      </c>
      <c r="B726">
        <v>9</v>
      </c>
      <c r="C726" t="s">
        <v>476</v>
      </c>
      <c r="D726" t="s">
        <v>81</v>
      </c>
      <c r="E726" t="s">
        <v>289</v>
      </c>
      <c r="F726" t="s">
        <v>471</v>
      </c>
      <c r="G726">
        <v>179000</v>
      </c>
    </row>
    <row r="727" spans="1:7" x14ac:dyDescent="0.35">
      <c r="A727">
        <v>2024</v>
      </c>
      <c r="B727">
        <v>9</v>
      </c>
      <c r="C727" t="s">
        <v>476</v>
      </c>
      <c r="D727" t="s">
        <v>44</v>
      </c>
      <c r="E727" t="s">
        <v>253</v>
      </c>
      <c r="F727" t="s">
        <v>432</v>
      </c>
      <c r="G727">
        <v>94316</v>
      </c>
    </row>
    <row r="728" spans="1:7" x14ac:dyDescent="0.35">
      <c r="A728">
        <v>2024</v>
      </c>
      <c r="B728">
        <v>9</v>
      </c>
      <c r="C728" t="s">
        <v>476</v>
      </c>
      <c r="D728" t="s">
        <v>16</v>
      </c>
      <c r="E728" t="s">
        <v>254</v>
      </c>
      <c r="F728" t="s">
        <v>433</v>
      </c>
      <c r="G728">
        <v>27548</v>
      </c>
    </row>
    <row r="729" spans="1:7" x14ac:dyDescent="0.35">
      <c r="A729">
        <v>2024</v>
      </c>
      <c r="B729">
        <v>9</v>
      </c>
      <c r="C729" t="s">
        <v>476</v>
      </c>
      <c r="D729" t="s">
        <v>34</v>
      </c>
      <c r="E729" t="s">
        <v>278</v>
      </c>
      <c r="F729" t="s">
        <v>458</v>
      </c>
      <c r="G729">
        <v>135753</v>
      </c>
    </row>
    <row r="730" spans="1:7" x14ac:dyDescent="0.35">
      <c r="A730">
        <v>2024</v>
      </c>
      <c r="B730">
        <v>9</v>
      </c>
      <c r="C730" t="s">
        <v>476</v>
      </c>
      <c r="D730" t="s">
        <v>55</v>
      </c>
      <c r="E730" t="s">
        <v>287</v>
      </c>
      <c r="F730" t="s">
        <v>467</v>
      </c>
      <c r="G730">
        <v>14297</v>
      </c>
    </row>
    <row r="731" spans="1:7" x14ac:dyDescent="0.35">
      <c r="A731">
        <v>2024</v>
      </c>
      <c r="B731">
        <v>9</v>
      </c>
      <c r="C731" t="s">
        <v>476</v>
      </c>
      <c r="D731" t="s">
        <v>17</v>
      </c>
      <c r="E731" t="s">
        <v>255</v>
      </c>
      <c r="F731" t="s">
        <v>434</v>
      </c>
      <c r="G731">
        <v>14928</v>
      </c>
    </row>
    <row r="732" spans="1:7" x14ac:dyDescent="0.35">
      <c r="A732">
        <v>2024</v>
      </c>
      <c r="B732">
        <v>9</v>
      </c>
      <c r="C732" t="s">
        <v>476</v>
      </c>
      <c r="D732" t="s">
        <v>37</v>
      </c>
      <c r="E732" t="s">
        <v>256</v>
      </c>
      <c r="F732" t="s">
        <v>435</v>
      </c>
      <c r="G732">
        <v>-10651.7</v>
      </c>
    </row>
    <row r="733" spans="1:7" x14ac:dyDescent="0.35">
      <c r="A733">
        <v>2024</v>
      </c>
      <c r="B733">
        <v>9</v>
      </c>
      <c r="C733" t="s">
        <v>476</v>
      </c>
      <c r="D733" t="s">
        <v>37</v>
      </c>
      <c r="E733" t="s">
        <v>257</v>
      </c>
      <c r="F733" t="s">
        <v>436</v>
      </c>
      <c r="G733">
        <v>-4388105.6900000004</v>
      </c>
    </row>
    <row r="734" spans="1:7" x14ac:dyDescent="0.35">
      <c r="A734">
        <v>2024</v>
      </c>
      <c r="B734">
        <v>9</v>
      </c>
      <c r="C734" t="s">
        <v>476</v>
      </c>
      <c r="D734" t="s">
        <v>18</v>
      </c>
      <c r="E734" t="s">
        <v>259</v>
      </c>
      <c r="F734" t="s">
        <v>438</v>
      </c>
      <c r="G734">
        <v>1814</v>
      </c>
    </row>
    <row r="735" spans="1:7" x14ac:dyDescent="0.35">
      <c r="A735">
        <v>2024</v>
      </c>
      <c r="B735">
        <v>10</v>
      </c>
      <c r="C735" t="s">
        <v>480</v>
      </c>
      <c r="E735" t="s">
        <v>291</v>
      </c>
      <c r="F735" t="s">
        <v>474</v>
      </c>
      <c r="G735">
        <v>14477</v>
      </c>
    </row>
    <row r="736" spans="1:7" x14ac:dyDescent="0.35">
      <c r="A736">
        <v>2024</v>
      </c>
      <c r="B736">
        <v>10</v>
      </c>
      <c r="C736" t="s">
        <v>480</v>
      </c>
      <c r="D736" t="s">
        <v>59</v>
      </c>
      <c r="E736" t="s">
        <v>133</v>
      </c>
      <c r="F736" t="s">
        <v>313</v>
      </c>
      <c r="G736">
        <v>29712</v>
      </c>
    </row>
    <row r="737" spans="1:7" x14ac:dyDescent="0.35">
      <c r="A737">
        <v>2024</v>
      </c>
      <c r="B737">
        <v>10</v>
      </c>
      <c r="C737" t="s">
        <v>480</v>
      </c>
      <c r="D737" t="s">
        <v>38</v>
      </c>
      <c r="E737" t="s">
        <v>122</v>
      </c>
      <c r="F737" t="s">
        <v>314</v>
      </c>
      <c r="G737">
        <v>24036</v>
      </c>
    </row>
    <row r="738" spans="1:7" x14ac:dyDescent="0.35">
      <c r="A738">
        <v>2024</v>
      </c>
      <c r="B738">
        <v>10</v>
      </c>
      <c r="C738" t="s">
        <v>480</v>
      </c>
      <c r="D738" t="s">
        <v>6</v>
      </c>
      <c r="E738" t="s">
        <v>135</v>
      </c>
      <c r="F738" t="s">
        <v>316</v>
      </c>
      <c r="G738">
        <v>23908</v>
      </c>
    </row>
    <row r="739" spans="1:7" x14ac:dyDescent="0.35">
      <c r="A739">
        <v>2024</v>
      </c>
      <c r="B739">
        <v>10</v>
      </c>
      <c r="C739" t="s">
        <v>480</v>
      </c>
      <c r="D739" t="s">
        <v>6</v>
      </c>
      <c r="E739" t="s">
        <v>136</v>
      </c>
      <c r="F739" t="s">
        <v>317</v>
      </c>
      <c r="G739">
        <v>127837</v>
      </c>
    </row>
    <row r="740" spans="1:7" x14ac:dyDescent="0.35">
      <c r="A740">
        <v>2024</v>
      </c>
      <c r="B740">
        <v>10</v>
      </c>
      <c r="C740" t="s">
        <v>480</v>
      </c>
      <c r="D740" t="s">
        <v>6</v>
      </c>
      <c r="E740" t="s">
        <v>137</v>
      </c>
      <c r="F740" t="s">
        <v>318</v>
      </c>
      <c r="G740">
        <v>168938</v>
      </c>
    </row>
    <row r="741" spans="1:7" x14ac:dyDescent="0.35">
      <c r="A741">
        <v>2024</v>
      </c>
      <c r="B741">
        <v>10</v>
      </c>
      <c r="C741" t="s">
        <v>480</v>
      </c>
      <c r="D741" t="s">
        <v>6</v>
      </c>
      <c r="E741" t="s">
        <v>138</v>
      </c>
      <c r="F741" t="s">
        <v>319</v>
      </c>
      <c r="G741">
        <v>19183</v>
      </c>
    </row>
    <row r="742" spans="1:7" x14ac:dyDescent="0.35">
      <c r="A742">
        <v>2024</v>
      </c>
      <c r="B742">
        <v>10</v>
      </c>
      <c r="C742" t="s">
        <v>480</v>
      </c>
      <c r="D742" t="s">
        <v>62</v>
      </c>
      <c r="E742" t="s">
        <v>139</v>
      </c>
      <c r="F742" t="s">
        <v>320</v>
      </c>
      <c r="G742">
        <v>177</v>
      </c>
    </row>
    <row r="743" spans="1:7" x14ac:dyDescent="0.35">
      <c r="A743">
        <v>2024</v>
      </c>
      <c r="B743">
        <v>10</v>
      </c>
      <c r="C743" t="s">
        <v>480</v>
      </c>
      <c r="D743" t="s">
        <v>19</v>
      </c>
      <c r="E743" t="s">
        <v>142</v>
      </c>
      <c r="F743" t="s">
        <v>323</v>
      </c>
      <c r="G743">
        <v>643</v>
      </c>
    </row>
    <row r="744" spans="1:7" x14ac:dyDescent="0.35">
      <c r="A744">
        <v>2024</v>
      </c>
      <c r="B744">
        <v>10</v>
      </c>
      <c r="C744" t="s">
        <v>480</v>
      </c>
      <c r="D744" t="s">
        <v>31</v>
      </c>
      <c r="E744" t="s">
        <v>143</v>
      </c>
      <c r="F744" t="s">
        <v>324</v>
      </c>
      <c r="G744">
        <v>156479</v>
      </c>
    </row>
    <row r="745" spans="1:7" x14ac:dyDescent="0.35">
      <c r="A745">
        <v>2024</v>
      </c>
      <c r="B745">
        <v>10</v>
      </c>
      <c r="C745" t="s">
        <v>480</v>
      </c>
      <c r="D745" t="s">
        <v>26</v>
      </c>
      <c r="E745" t="s">
        <v>144</v>
      </c>
      <c r="F745" t="s">
        <v>325</v>
      </c>
      <c r="G745">
        <v>64862</v>
      </c>
    </row>
    <row r="746" spans="1:7" x14ac:dyDescent="0.35">
      <c r="A746">
        <v>2024</v>
      </c>
      <c r="B746">
        <v>10</v>
      </c>
      <c r="C746" t="s">
        <v>480</v>
      </c>
      <c r="D746" t="s">
        <v>41</v>
      </c>
      <c r="E746" t="s">
        <v>145</v>
      </c>
      <c r="F746" t="s">
        <v>326</v>
      </c>
      <c r="G746">
        <v>5800</v>
      </c>
    </row>
    <row r="747" spans="1:7" x14ac:dyDescent="0.35">
      <c r="A747">
        <v>2024</v>
      </c>
      <c r="B747">
        <v>10</v>
      </c>
      <c r="C747" t="s">
        <v>480</v>
      </c>
      <c r="D747" t="s">
        <v>7</v>
      </c>
      <c r="E747" t="s">
        <v>147</v>
      </c>
      <c r="F747" t="s">
        <v>328</v>
      </c>
      <c r="G747">
        <v>66362</v>
      </c>
    </row>
    <row r="748" spans="1:7" x14ac:dyDescent="0.35">
      <c r="A748">
        <v>2024</v>
      </c>
      <c r="B748">
        <v>10</v>
      </c>
      <c r="C748" t="s">
        <v>480</v>
      </c>
      <c r="D748" t="s">
        <v>67</v>
      </c>
      <c r="E748" t="s">
        <v>148</v>
      </c>
      <c r="F748" t="s">
        <v>329</v>
      </c>
      <c r="G748">
        <v>3128</v>
      </c>
    </row>
    <row r="749" spans="1:7" x14ac:dyDescent="0.35">
      <c r="A749">
        <v>2024</v>
      </c>
      <c r="B749">
        <v>10</v>
      </c>
      <c r="C749" t="s">
        <v>480</v>
      </c>
      <c r="D749" t="s">
        <v>67</v>
      </c>
      <c r="E749" t="s">
        <v>149</v>
      </c>
      <c r="F749" t="s">
        <v>330</v>
      </c>
      <c r="G749">
        <v>6666</v>
      </c>
    </row>
    <row r="750" spans="1:7" x14ac:dyDescent="0.35">
      <c r="A750">
        <v>2024</v>
      </c>
      <c r="B750">
        <v>10</v>
      </c>
      <c r="C750" t="s">
        <v>480</v>
      </c>
      <c r="D750" t="s">
        <v>67</v>
      </c>
      <c r="E750" t="s">
        <v>150</v>
      </c>
      <c r="F750" t="s">
        <v>331</v>
      </c>
      <c r="G750">
        <v>19387</v>
      </c>
    </row>
    <row r="751" spans="1:7" x14ac:dyDescent="0.35">
      <c r="A751">
        <v>2024</v>
      </c>
      <c r="B751">
        <v>10</v>
      </c>
      <c r="C751" t="s">
        <v>480</v>
      </c>
      <c r="D751" t="s">
        <v>67</v>
      </c>
      <c r="E751" t="s">
        <v>151</v>
      </c>
      <c r="F751" t="s">
        <v>332</v>
      </c>
      <c r="G751">
        <v>6542</v>
      </c>
    </row>
    <row r="752" spans="1:7" x14ac:dyDescent="0.35">
      <c r="A752">
        <v>2024</v>
      </c>
      <c r="B752">
        <v>10</v>
      </c>
      <c r="C752" t="s">
        <v>480</v>
      </c>
      <c r="D752" t="s">
        <v>67</v>
      </c>
      <c r="E752" t="s">
        <v>152</v>
      </c>
      <c r="F752" t="s">
        <v>333</v>
      </c>
      <c r="G752">
        <v>6210</v>
      </c>
    </row>
    <row r="753" spans="1:7" x14ac:dyDescent="0.35">
      <c r="A753">
        <v>2024</v>
      </c>
      <c r="B753">
        <v>10</v>
      </c>
      <c r="C753" t="s">
        <v>480</v>
      </c>
      <c r="D753" t="s">
        <v>93</v>
      </c>
      <c r="E753" t="s">
        <v>153</v>
      </c>
      <c r="F753" t="s">
        <v>334</v>
      </c>
      <c r="G753">
        <v>85075.29</v>
      </c>
    </row>
    <row r="754" spans="1:7" x14ac:dyDescent="0.35">
      <c r="A754">
        <v>2024</v>
      </c>
      <c r="B754">
        <v>10</v>
      </c>
      <c r="C754" t="s">
        <v>480</v>
      </c>
      <c r="D754" t="s">
        <v>93</v>
      </c>
      <c r="E754" t="s">
        <v>154</v>
      </c>
      <c r="F754" t="s">
        <v>335</v>
      </c>
      <c r="G754">
        <v>64552.61</v>
      </c>
    </row>
    <row r="755" spans="1:7" x14ac:dyDescent="0.35">
      <c r="A755">
        <v>2024</v>
      </c>
      <c r="B755">
        <v>10</v>
      </c>
      <c r="C755" t="s">
        <v>480</v>
      </c>
      <c r="D755" t="s">
        <v>89</v>
      </c>
      <c r="E755" t="s">
        <v>155</v>
      </c>
      <c r="F755" t="s">
        <v>336</v>
      </c>
      <c r="G755">
        <v>-37212.5</v>
      </c>
    </row>
    <row r="756" spans="1:7" x14ac:dyDescent="0.35">
      <c r="A756">
        <v>2024</v>
      </c>
      <c r="B756">
        <v>10</v>
      </c>
      <c r="C756" t="s">
        <v>480</v>
      </c>
      <c r="D756" t="s">
        <v>89</v>
      </c>
      <c r="E756" t="s">
        <v>156</v>
      </c>
      <c r="F756" t="s">
        <v>337</v>
      </c>
      <c r="G756">
        <v>177202.37</v>
      </c>
    </row>
    <row r="757" spans="1:7" x14ac:dyDescent="0.35">
      <c r="A757">
        <v>2024</v>
      </c>
      <c r="B757">
        <v>10</v>
      </c>
      <c r="C757" t="s">
        <v>480</v>
      </c>
      <c r="D757" t="s">
        <v>8</v>
      </c>
      <c r="E757" t="s">
        <v>157</v>
      </c>
      <c r="F757" t="s">
        <v>338</v>
      </c>
      <c r="G757">
        <v>11455</v>
      </c>
    </row>
    <row r="758" spans="1:7" x14ac:dyDescent="0.35">
      <c r="A758">
        <v>2024</v>
      </c>
      <c r="B758">
        <v>10</v>
      </c>
      <c r="C758" t="s">
        <v>480</v>
      </c>
      <c r="D758" t="s">
        <v>20</v>
      </c>
      <c r="E758" t="s">
        <v>158</v>
      </c>
      <c r="F758" t="s">
        <v>339</v>
      </c>
      <c r="G758">
        <v>565518</v>
      </c>
    </row>
    <row r="759" spans="1:7" x14ac:dyDescent="0.35">
      <c r="A759">
        <v>2024</v>
      </c>
      <c r="B759">
        <v>10</v>
      </c>
      <c r="C759" t="s">
        <v>480</v>
      </c>
      <c r="D759" t="s">
        <v>21</v>
      </c>
      <c r="E759" t="s">
        <v>159</v>
      </c>
      <c r="F759" t="s">
        <v>340</v>
      </c>
      <c r="G759">
        <v>214020</v>
      </c>
    </row>
    <row r="760" spans="1:7" x14ac:dyDescent="0.35">
      <c r="A760">
        <v>2024</v>
      </c>
      <c r="B760">
        <v>10</v>
      </c>
      <c r="C760" t="s">
        <v>480</v>
      </c>
      <c r="D760" t="s">
        <v>160</v>
      </c>
      <c r="E760" t="s">
        <v>161</v>
      </c>
      <c r="F760" t="s">
        <v>341</v>
      </c>
      <c r="G760">
        <v>83200</v>
      </c>
    </row>
    <row r="761" spans="1:7" x14ac:dyDescent="0.35">
      <c r="A761">
        <v>2024</v>
      </c>
      <c r="B761">
        <v>10</v>
      </c>
      <c r="C761" t="s">
        <v>480</v>
      </c>
      <c r="D761" t="s">
        <v>32</v>
      </c>
      <c r="E761" t="s">
        <v>162</v>
      </c>
      <c r="F761" t="s">
        <v>342</v>
      </c>
      <c r="G761">
        <v>4546</v>
      </c>
    </row>
    <row r="762" spans="1:7" x14ac:dyDescent="0.35">
      <c r="A762">
        <v>2024</v>
      </c>
      <c r="B762">
        <v>10</v>
      </c>
      <c r="C762" t="s">
        <v>480</v>
      </c>
      <c r="D762" t="s">
        <v>22</v>
      </c>
      <c r="E762" t="s">
        <v>165</v>
      </c>
      <c r="F762" t="s">
        <v>344</v>
      </c>
      <c r="G762">
        <v>99</v>
      </c>
    </row>
    <row r="763" spans="1:7" x14ac:dyDescent="0.35">
      <c r="A763">
        <v>2024</v>
      </c>
      <c r="B763">
        <v>10</v>
      </c>
      <c r="C763" t="s">
        <v>480</v>
      </c>
      <c r="D763" t="s">
        <v>27</v>
      </c>
      <c r="E763" t="s">
        <v>166</v>
      </c>
      <c r="F763" t="s">
        <v>345</v>
      </c>
      <c r="G763">
        <v>43390</v>
      </c>
    </row>
    <row r="764" spans="1:7" x14ac:dyDescent="0.35">
      <c r="A764">
        <v>2024</v>
      </c>
      <c r="B764">
        <v>10</v>
      </c>
      <c r="C764" t="s">
        <v>480</v>
      </c>
      <c r="D764" t="s">
        <v>167</v>
      </c>
      <c r="E764" t="s">
        <v>167</v>
      </c>
      <c r="F764" t="s">
        <v>346</v>
      </c>
      <c r="G764">
        <v>-1294889</v>
      </c>
    </row>
    <row r="765" spans="1:7" x14ac:dyDescent="0.35">
      <c r="A765">
        <v>2024</v>
      </c>
      <c r="B765">
        <v>10</v>
      </c>
      <c r="C765" t="s">
        <v>480</v>
      </c>
      <c r="D765" t="s">
        <v>9</v>
      </c>
      <c r="E765" t="s">
        <v>168</v>
      </c>
      <c r="F765" t="s">
        <v>347</v>
      </c>
      <c r="G765">
        <v>7155</v>
      </c>
    </row>
    <row r="766" spans="1:7" x14ac:dyDescent="0.35">
      <c r="A766">
        <v>2024</v>
      </c>
      <c r="B766">
        <v>10</v>
      </c>
      <c r="C766" t="s">
        <v>480</v>
      </c>
      <c r="D766" t="s">
        <v>9</v>
      </c>
      <c r="E766" t="s">
        <v>169</v>
      </c>
      <c r="F766" t="s">
        <v>348</v>
      </c>
      <c r="G766">
        <v>16700</v>
      </c>
    </row>
    <row r="767" spans="1:7" x14ac:dyDescent="0.35">
      <c r="A767">
        <v>2024</v>
      </c>
      <c r="B767">
        <v>10</v>
      </c>
      <c r="C767" t="s">
        <v>480</v>
      </c>
      <c r="D767" t="s">
        <v>72</v>
      </c>
      <c r="E767" t="s">
        <v>170</v>
      </c>
      <c r="F767" t="s">
        <v>349</v>
      </c>
      <c r="G767">
        <v>128885</v>
      </c>
    </row>
    <row r="768" spans="1:7" x14ac:dyDescent="0.35">
      <c r="A768">
        <v>2024</v>
      </c>
      <c r="B768">
        <v>10</v>
      </c>
      <c r="C768" t="s">
        <v>480</v>
      </c>
      <c r="D768" t="s">
        <v>39</v>
      </c>
      <c r="E768" t="s">
        <v>171</v>
      </c>
      <c r="F768" t="s">
        <v>350</v>
      </c>
      <c r="G768">
        <v>6344</v>
      </c>
    </row>
    <row r="769" spans="1:7" x14ac:dyDescent="0.35">
      <c r="A769">
        <v>2024</v>
      </c>
      <c r="B769">
        <v>10</v>
      </c>
      <c r="C769" t="s">
        <v>480</v>
      </c>
      <c r="D769" t="s">
        <v>10</v>
      </c>
      <c r="E769" t="s">
        <v>172</v>
      </c>
      <c r="F769" t="s">
        <v>351</v>
      </c>
      <c r="G769">
        <v>19259</v>
      </c>
    </row>
    <row r="770" spans="1:7" x14ac:dyDescent="0.35">
      <c r="A770">
        <v>2024</v>
      </c>
      <c r="B770">
        <v>10</v>
      </c>
      <c r="C770" t="s">
        <v>480</v>
      </c>
      <c r="D770" t="s">
        <v>66</v>
      </c>
      <c r="E770" t="s">
        <v>173</v>
      </c>
      <c r="F770" t="s">
        <v>352</v>
      </c>
      <c r="G770">
        <v>429717</v>
      </c>
    </row>
    <row r="771" spans="1:7" x14ac:dyDescent="0.35">
      <c r="A771">
        <v>2024</v>
      </c>
      <c r="B771">
        <v>10</v>
      </c>
      <c r="C771" t="s">
        <v>480</v>
      </c>
      <c r="D771" t="s">
        <v>66</v>
      </c>
      <c r="E771" t="s">
        <v>174</v>
      </c>
      <c r="F771" t="s">
        <v>353</v>
      </c>
      <c r="G771">
        <v>32541</v>
      </c>
    </row>
    <row r="772" spans="1:7" x14ac:dyDescent="0.35">
      <c r="A772">
        <v>2024</v>
      </c>
      <c r="B772">
        <v>10</v>
      </c>
      <c r="C772" t="s">
        <v>480</v>
      </c>
      <c r="D772" t="s">
        <v>66</v>
      </c>
      <c r="E772" t="s">
        <v>175</v>
      </c>
      <c r="F772" t="s">
        <v>354</v>
      </c>
      <c r="G772">
        <v>483</v>
      </c>
    </row>
    <row r="773" spans="1:7" x14ac:dyDescent="0.35">
      <c r="A773">
        <v>2024</v>
      </c>
      <c r="B773">
        <v>10</v>
      </c>
      <c r="C773" t="s">
        <v>480</v>
      </c>
      <c r="D773" t="s">
        <v>66</v>
      </c>
      <c r="E773" t="s">
        <v>176</v>
      </c>
      <c r="F773" t="s">
        <v>355</v>
      </c>
      <c r="G773">
        <v>43555</v>
      </c>
    </row>
    <row r="774" spans="1:7" x14ac:dyDescent="0.35">
      <c r="A774">
        <v>2024</v>
      </c>
      <c r="B774">
        <v>10</v>
      </c>
      <c r="C774" t="s">
        <v>480</v>
      </c>
      <c r="D774" t="s">
        <v>66</v>
      </c>
      <c r="E774" t="s">
        <v>177</v>
      </c>
      <c r="F774" t="s">
        <v>356</v>
      </c>
      <c r="G774">
        <v>63280</v>
      </c>
    </row>
    <row r="775" spans="1:7" x14ac:dyDescent="0.35">
      <c r="A775">
        <v>2024</v>
      </c>
      <c r="B775">
        <v>10</v>
      </c>
      <c r="C775" t="s">
        <v>480</v>
      </c>
      <c r="D775" t="s">
        <v>66</v>
      </c>
      <c r="E775" t="s">
        <v>178</v>
      </c>
      <c r="F775" t="s">
        <v>357</v>
      </c>
      <c r="G775">
        <v>7163</v>
      </c>
    </row>
    <row r="776" spans="1:7" x14ac:dyDescent="0.35">
      <c r="A776">
        <v>2024</v>
      </c>
      <c r="B776">
        <v>10</v>
      </c>
      <c r="C776" t="s">
        <v>480</v>
      </c>
      <c r="D776" t="s">
        <v>11</v>
      </c>
      <c r="E776" t="s">
        <v>179</v>
      </c>
      <c r="F776" t="s">
        <v>180</v>
      </c>
      <c r="G776">
        <v>159681</v>
      </c>
    </row>
    <row r="777" spans="1:7" x14ac:dyDescent="0.35">
      <c r="A777">
        <v>2024</v>
      </c>
      <c r="B777">
        <v>10</v>
      </c>
      <c r="C777" t="s">
        <v>480</v>
      </c>
      <c r="D777" t="s">
        <v>74</v>
      </c>
      <c r="E777" t="s">
        <v>205</v>
      </c>
      <c r="F777" t="s">
        <v>384</v>
      </c>
      <c r="G777">
        <v>14263</v>
      </c>
    </row>
    <row r="778" spans="1:7" x14ac:dyDescent="0.35">
      <c r="A778">
        <v>2024</v>
      </c>
      <c r="B778">
        <v>10</v>
      </c>
      <c r="C778" t="s">
        <v>480</v>
      </c>
      <c r="D778" t="s">
        <v>74</v>
      </c>
      <c r="E778" t="s">
        <v>264</v>
      </c>
      <c r="F778" t="s">
        <v>444</v>
      </c>
      <c r="G778">
        <v>11774</v>
      </c>
    </row>
    <row r="779" spans="1:7" x14ac:dyDescent="0.35">
      <c r="A779">
        <v>2024</v>
      </c>
      <c r="B779">
        <v>10</v>
      </c>
      <c r="C779" t="s">
        <v>480</v>
      </c>
      <c r="D779" t="s">
        <v>74</v>
      </c>
      <c r="E779" t="s">
        <v>183</v>
      </c>
      <c r="F779" t="s">
        <v>360</v>
      </c>
      <c r="G779">
        <v>4846</v>
      </c>
    </row>
    <row r="780" spans="1:7" x14ac:dyDescent="0.35">
      <c r="A780">
        <v>2024</v>
      </c>
      <c r="B780">
        <v>10</v>
      </c>
      <c r="C780" t="s">
        <v>480</v>
      </c>
      <c r="D780" t="s">
        <v>74</v>
      </c>
      <c r="E780" t="s">
        <v>282</v>
      </c>
      <c r="F780" t="s">
        <v>462</v>
      </c>
      <c r="G780">
        <v>595</v>
      </c>
    </row>
    <row r="781" spans="1:7" x14ac:dyDescent="0.35">
      <c r="A781">
        <v>2024</v>
      </c>
      <c r="B781">
        <v>10</v>
      </c>
      <c r="C781" t="s">
        <v>480</v>
      </c>
      <c r="D781" t="s">
        <v>74</v>
      </c>
      <c r="E781" t="s">
        <v>266</v>
      </c>
      <c r="F781" t="s">
        <v>446</v>
      </c>
      <c r="G781">
        <v>680</v>
      </c>
    </row>
    <row r="782" spans="1:7" x14ac:dyDescent="0.35">
      <c r="A782">
        <v>2024</v>
      </c>
      <c r="B782">
        <v>10</v>
      </c>
      <c r="C782" t="s">
        <v>480</v>
      </c>
      <c r="D782" t="s">
        <v>74</v>
      </c>
      <c r="E782" t="s">
        <v>267</v>
      </c>
      <c r="F782" t="s">
        <v>447</v>
      </c>
      <c r="G782">
        <v>13569</v>
      </c>
    </row>
    <row r="783" spans="1:7" x14ac:dyDescent="0.35">
      <c r="A783">
        <v>2024</v>
      </c>
      <c r="B783">
        <v>10</v>
      </c>
      <c r="C783" t="s">
        <v>480</v>
      </c>
      <c r="D783" t="s">
        <v>74</v>
      </c>
      <c r="E783" t="s">
        <v>268</v>
      </c>
      <c r="F783" t="s">
        <v>448</v>
      </c>
      <c r="G783">
        <v>1020</v>
      </c>
    </row>
    <row r="784" spans="1:7" x14ac:dyDescent="0.35">
      <c r="A784">
        <v>2024</v>
      </c>
      <c r="B784">
        <v>10</v>
      </c>
      <c r="C784" t="s">
        <v>480</v>
      </c>
      <c r="D784" t="s">
        <v>74</v>
      </c>
      <c r="E784" t="s">
        <v>186</v>
      </c>
      <c r="F784" t="s">
        <v>364</v>
      </c>
      <c r="G784">
        <v>1285</v>
      </c>
    </row>
    <row r="785" spans="1:7" x14ac:dyDescent="0.35">
      <c r="A785">
        <v>2024</v>
      </c>
      <c r="B785">
        <v>10</v>
      </c>
      <c r="C785" t="s">
        <v>480</v>
      </c>
      <c r="D785" t="s">
        <v>74</v>
      </c>
      <c r="E785" t="s">
        <v>270</v>
      </c>
      <c r="F785" t="s">
        <v>450</v>
      </c>
      <c r="G785">
        <v>52042</v>
      </c>
    </row>
    <row r="786" spans="1:7" x14ac:dyDescent="0.35">
      <c r="A786">
        <v>2024</v>
      </c>
      <c r="B786">
        <v>10</v>
      </c>
      <c r="C786" t="s">
        <v>480</v>
      </c>
      <c r="D786" t="s">
        <v>74</v>
      </c>
      <c r="E786" t="s">
        <v>187</v>
      </c>
      <c r="F786" t="s">
        <v>365</v>
      </c>
      <c r="G786">
        <v>25397</v>
      </c>
    </row>
    <row r="787" spans="1:7" x14ac:dyDescent="0.35">
      <c r="A787">
        <v>2024</v>
      </c>
      <c r="B787">
        <v>10</v>
      </c>
      <c r="C787" t="s">
        <v>480</v>
      </c>
      <c r="D787" t="s">
        <v>74</v>
      </c>
      <c r="E787" t="s">
        <v>283</v>
      </c>
      <c r="F787" t="s">
        <v>463</v>
      </c>
      <c r="G787">
        <v>20154</v>
      </c>
    </row>
    <row r="788" spans="1:7" x14ac:dyDescent="0.35">
      <c r="A788">
        <v>2024</v>
      </c>
      <c r="B788">
        <v>10</v>
      </c>
      <c r="C788" t="s">
        <v>480</v>
      </c>
      <c r="D788" t="s">
        <v>85</v>
      </c>
      <c r="E788" t="s">
        <v>188</v>
      </c>
      <c r="F788" t="s">
        <v>366</v>
      </c>
      <c r="G788">
        <v>1960350.65</v>
      </c>
    </row>
    <row r="789" spans="1:7" x14ac:dyDescent="0.35">
      <c r="A789">
        <v>2024</v>
      </c>
      <c r="B789">
        <v>10</v>
      </c>
      <c r="C789" t="s">
        <v>480</v>
      </c>
      <c r="D789" t="s">
        <v>106</v>
      </c>
      <c r="E789" t="s">
        <v>189</v>
      </c>
      <c r="F789" t="s">
        <v>367</v>
      </c>
      <c r="G789">
        <v>3271315</v>
      </c>
    </row>
    <row r="790" spans="1:7" x14ac:dyDescent="0.35">
      <c r="A790">
        <v>2024</v>
      </c>
      <c r="B790">
        <v>10</v>
      </c>
      <c r="C790" t="s">
        <v>480</v>
      </c>
      <c r="D790" t="s">
        <v>106</v>
      </c>
      <c r="E790" t="s">
        <v>190</v>
      </c>
      <c r="F790" t="s">
        <v>368</v>
      </c>
      <c r="G790">
        <v>117294</v>
      </c>
    </row>
    <row r="791" spans="1:7" x14ac:dyDescent="0.35">
      <c r="A791">
        <v>2024</v>
      </c>
      <c r="B791">
        <v>10</v>
      </c>
      <c r="C791" t="s">
        <v>480</v>
      </c>
      <c r="D791" t="s">
        <v>106</v>
      </c>
      <c r="E791" t="s">
        <v>191</v>
      </c>
      <c r="F791" t="s">
        <v>369</v>
      </c>
      <c r="G791">
        <v>801288</v>
      </c>
    </row>
    <row r="792" spans="1:7" x14ac:dyDescent="0.35">
      <c r="A792">
        <v>2024</v>
      </c>
      <c r="B792">
        <v>10</v>
      </c>
      <c r="C792" t="s">
        <v>480</v>
      </c>
      <c r="D792" t="s">
        <v>106</v>
      </c>
      <c r="E792" t="s">
        <v>192</v>
      </c>
      <c r="F792" t="s">
        <v>370</v>
      </c>
      <c r="G792">
        <v>290790</v>
      </c>
    </row>
    <row r="793" spans="1:7" x14ac:dyDescent="0.35">
      <c r="A793">
        <v>2024</v>
      </c>
      <c r="B793">
        <v>10</v>
      </c>
      <c r="C793" t="s">
        <v>480</v>
      </c>
      <c r="D793" t="s">
        <v>106</v>
      </c>
      <c r="E793" t="s">
        <v>284</v>
      </c>
      <c r="F793" t="s">
        <v>464</v>
      </c>
      <c r="G793">
        <v>64</v>
      </c>
    </row>
    <row r="794" spans="1:7" x14ac:dyDescent="0.35">
      <c r="A794">
        <v>2024</v>
      </c>
      <c r="B794">
        <v>10</v>
      </c>
      <c r="C794" t="s">
        <v>480</v>
      </c>
      <c r="D794" t="s">
        <v>106</v>
      </c>
      <c r="E794" t="s">
        <v>193</v>
      </c>
      <c r="F794" t="s">
        <v>371</v>
      </c>
      <c r="G794">
        <v>28300</v>
      </c>
    </row>
    <row r="795" spans="1:7" x14ac:dyDescent="0.35">
      <c r="A795">
        <v>2024</v>
      </c>
      <c r="B795">
        <v>10</v>
      </c>
      <c r="C795" t="s">
        <v>480</v>
      </c>
      <c r="D795" t="s">
        <v>106</v>
      </c>
      <c r="E795" t="s">
        <v>194</v>
      </c>
      <c r="F795" t="s">
        <v>372</v>
      </c>
      <c r="G795">
        <v>3066</v>
      </c>
    </row>
    <row r="796" spans="1:7" x14ac:dyDescent="0.35">
      <c r="A796">
        <v>2024</v>
      </c>
      <c r="B796">
        <v>10</v>
      </c>
      <c r="C796" t="s">
        <v>480</v>
      </c>
      <c r="D796" t="s">
        <v>106</v>
      </c>
      <c r="E796" t="s">
        <v>195</v>
      </c>
      <c r="F796" t="s">
        <v>373</v>
      </c>
      <c r="G796">
        <v>123554</v>
      </c>
    </row>
    <row r="797" spans="1:7" x14ac:dyDescent="0.35">
      <c r="A797">
        <v>2024</v>
      </c>
      <c r="B797">
        <v>10</v>
      </c>
      <c r="C797" t="s">
        <v>480</v>
      </c>
      <c r="D797" t="s">
        <v>75</v>
      </c>
      <c r="E797" t="s">
        <v>204</v>
      </c>
      <c r="F797" t="s">
        <v>383</v>
      </c>
      <c r="G797">
        <v>0</v>
      </c>
    </row>
    <row r="798" spans="1:7" x14ac:dyDescent="0.35">
      <c r="A798">
        <v>2024</v>
      </c>
      <c r="B798">
        <v>10</v>
      </c>
      <c r="C798" t="s">
        <v>480</v>
      </c>
      <c r="D798" t="s">
        <v>23</v>
      </c>
      <c r="E798" t="s">
        <v>206</v>
      </c>
      <c r="F798" t="s">
        <v>385</v>
      </c>
      <c r="G798">
        <v>36427</v>
      </c>
    </row>
    <row r="799" spans="1:7" x14ac:dyDescent="0.35">
      <c r="A799">
        <v>2024</v>
      </c>
      <c r="B799">
        <v>10</v>
      </c>
      <c r="C799" t="s">
        <v>480</v>
      </c>
      <c r="D799" t="s">
        <v>24</v>
      </c>
      <c r="E799" t="s">
        <v>207</v>
      </c>
      <c r="F799" t="s">
        <v>386</v>
      </c>
      <c r="G799">
        <v>191524</v>
      </c>
    </row>
    <row r="800" spans="1:7" x14ac:dyDescent="0.35">
      <c r="A800">
        <v>2024</v>
      </c>
      <c r="B800">
        <v>10</v>
      </c>
      <c r="C800" t="s">
        <v>480</v>
      </c>
      <c r="D800" t="s">
        <v>114</v>
      </c>
      <c r="E800" t="s">
        <v>295</v>
      </c>
      <c r="F800" t="s">
        <v>479</v>
      </c>
      <c r="G800">
        <v>135</v>
      </c>
    </row>
    <row r="801" spans="1:7" x14ac:dyDescent="0.35">
      <c r="A801">
        <v>2024</v>
      </c>
      <c r="B801">
        <v>10</v>
      </c>
      <c r="C801" t="s">
        <v>480</v>
      </c>
      <c r="D801" t="s">
        <v>519</v>
      </c>
      <c r="E801" t="s">
        <v>202</v>
      </c>
      <c r="F801" t="s">
        <v>380</v>
      </c>
      <c r="G801">
        <v>2600</v>
      </c>
    </row>
    <row r="802" spans="1:7" x14ac:dyDescent="0.35">
      <c r="A802">
        <v>2024</v>
      </c>
      <c r="B802">
        <v>10</v>
      </c>
      <c r="C802" t="s">
        <v>480</v>
      </c>
      <c r="D802" t="s">
        <v>519</v>
      </c>
      <c r="E802" t="s">
        <v>203</v>
      </c>
      <c r="F802" t="s">
        <v>381</v>
      </c>
      <c r="G802">
        <v>64480.61</v>
      </c>
    </row>
    <row r="803" spans="1:7" x14ac:dyDescent="0.35">
      <c r="A803">
        <v>2024</v>
      </c>
      <c r="B803">
        <v>10</v>
      </c>
      <c r="C803" t="s">
        <v>480</v>
      </c>
      <c r="D803" t="s">
        <v>519</v>
      </c>
      <c r="E803" t="s">
        <v>196</v>
      </c>
      <c r="F803" t="s">
        <v>382</v>
      </c>
      <c r="G803">
        <v>3.46</v>
      </c>
    </row>
    <row r="804" spans="1:7" x14ac:dyDescent="0.35">
      <c r="A804">
        <v>2024</v>
      </c>
      <c r="B804">
        <v>10</v>
      </c>
      <c r="C804" t="s">
        <v>480</v>
      </c>
      <c r="D804" t="s">
        <v>520</v>
      </c>
      <c r="E804" t="s">
        <v>208</v>
      </c>
      <c r="F804" t="s">
        <v>387</v>
      </c>
      <c r="G804">
        <v>60</v>
      </c>
    </row>
    <row r="805" spans="1:7" x14ac:dyDescent="0.35">
      <c r="A805">
        <v>2024</v>
      </c>
      <c r="B805">
        <v>10</v>
      </c>
      <c r="C805" t="s">
        <v>480</v>
      </c>
      <c r="D805" t="s">
        <v>520</v>
      </c>
      <c r="E805" t="s">
        <v>134</v>
      </c>
      <c r="F805" t="s">
        <v>315</v>
      </c>
      <c r="G805">
        <v>8576</v>
      </c>
    </row>
    <row r="806" spans="1:7" x14ac:dyDescent="0.35">
      <c r="A806">
        <v>2024</v>
      </c>
      <c r="B806">
        <v>10</v>
      </c>
      <c r="C806" t="s">
        <v>480</v>
      </c>
      <c r="D806" t="s">
        <v>520</v>
      </c>
      <c r="E806" t="s">
        <v>297</v>
      </c>
      <c r="F806" t="s">
        <v>482</v>
      </c>
      <c r="G806">
        <v>900</v>
      </c>
    </row>
    <row r="807" spans="1:7" x14ac:dyDescent="0.35">
      <c r="A807">
        <v>2024</v>
      </c>
      <c r="B807">
        <v>10</v>
      </c>
      <c r="C807" t="s">
        <v>480</v>
      </c>
      <c r="D807" t="s">
        <v>520</v>
      </c>
      <c r="E807" t="s">
        <v>196</v>
      </c>
      <c r="F807" t="s">
        <v>374</v>
      </c>
      <c r="G807">
        <v>8</v>
      </c>
    </row>
    <row r="808" spans="1:7" x14ac:dyDescent="0.35">
      <c r="A808">
        <v>2024</v>
      </c>
      <c r="B808">
        <v>10</v>
      </c>
      <c r="C808" t="s">
        <v>480</v>
      </c>
      <c r="D808" t="s">
        <v>520</v>
      </c>
      <c r="E808" t="s">
        <v>301</v>
      </c>
      <c r="F808" t="s">
        <v>481</v>
      </c>
      <c r="G808">
        <v>2975</v>
      </c>
    </row>
    <row r="809" spans="1:7" x14ac:dyDescent="0.35">
      <c r="A809">
        <v>2024</v>
      </c>
      <c r="B809">
        <v>10</v>
      </c>
      <c r="C809" t="s">
        <v>480</v>
      </c>
      <c r="D809" t="s">
        <v>520</v>
      </c>
      <c r="E809" t="s">
        <v>198</v>
      </c>
      <c r="F809" t="s">
        <v>376</v>
      </c>
      <c r="G809">
        <v>1854</v>
      </c>
    </row>
    <row r="810" spans="1:7" x14ac:dyDescent="0.35">
      <c r="A810">
        <v>2024</v>
      </c>
      <c r="B810">
        <v>10</v>
      </c>
      <c r="C810" t="s">
        <v>480</v>
      </c>
      <c r="D810" t="s">
        <v>520</v>
      </c>
      <c r="E810" t="s">
        <v>200</v>
      </c>
      <c r="F810" t="s">
        <v>378</v>
      </c>
      <c r="G810">
        <v>2951</v>
      </c>
    </row>
    <row r="811" spans="1:7" x14ac:dyDescent="0.35">
      <c r="A811">
        <v>2024</v>
      </c>
      <c r="B811">
        <v>10</v>
      </c>
      <c r="C811" t="s">
        <v>480</v>
      </c>
      <c r="D811" t="s">
        <v>520</v>
      </c>
      <c r="E811" t="s">
        <v>201</v>
      </c>
      <c r="F811" t="s">
        <v>379</v>
      </c>
      <c r="G811">
        <v>10099</v>
      </c>
    </row>
    <row r="812" spans="1:7" x14ac:dyDescent="0.35">
      <c r="A812">
        <v>2024</v>
      </c>
      <c r="B812">
        <v>10</v>
      </c>
      <c r="C812" t="s">
        <v>480</v>
      </c>
      <c r="D812" t="s">
        <v>33</v>
      </c>
      <c r="E812" t="s">
        <v>209</v>
      </c>
      <c r="F812" t="s">
        <v>388</v>
      </c>
      <c r="G812">
        <v>16892</v>
      </c>
    </row>
    <row r="813" spans="1:7" x14ac:dyDescent="0.35">
      <c r="A813">
        <v>2024</v>
      </c>
      <c r="B813">
        <v>10</v>
      </c>
      <c r="C813" t="s">
        <v>480</v>
      </c>
      <c r="D813" t="s">
        <v>12</v>
      </c>
      <c r="E813" t="s">
        <v>210</v>
      </c>
      <c r="F813" t="s">
        <v>389</v>
      </c>
      <c r="G813">
        <v>2259</v>
      </c>
    </row>
    <row r="814" spans="1:7" x14ac:dyDescent="0.35">
      <c r="A814">
        <v>2024</v>
      </c>
      <c r="B814">
        <v>10</v>
      </c>
      <c r="C814" t="s">
        <v>480</v>
      </c>
      <c r="D814" t="s">
        <v>12</v>
      </c>
      <c r="E814" t="s">
        <v>211</v>
      </c>
      <c r="F814" t="s">
        <v>390</v>
      </c>
      <c r="G814">
        <v>2825</v>
      </c>
    </row>
    <row r="815" spans="1:7" x14ac:dyDescent="0.35">
      <c r="A815">
        <v>2024</v>
      </c>
      <c r="B815">
        <v>10</v>
      </c>
      <c r="C815" t="s">
        <v>480</v>
      </c>
      <c r="D815" t="s">
        <v>12</v>
      </c>
      <c r="E815" t="s">
        <v>212</v>
      </c>
      <c r="F815" t="s">
        <v>391</v>
      </c>
      <c r="G815">
        <v>2929</v>
      </c>
    </row>
    <row r="816" spans="1:7" x14ac:dyDescent="0.35">
      <c r="A816">
        <v>2024</v>
      </c>
      <c r="B816">
        <v>10</v>
      </c>
      <c r="C816" t="s">
        <v>480</v>
      </c>
      <c r="D816" t="s">
        <v>12</v>
      </c>
      <c r="E816" t="s">
        <v>273</v>
      </c>
      <c r="F816" t="s">
        <v>453</v>
      </c>
      <c r="G816">
        <v>1289</v>
      </c>
    </row>
    <row r="817" spans="1:7" x14ac:dyDescent="0.35">
      <c r="A817">
        <v>2024</v>
      </c>
      <c r="B817">
        <v>10</v>
      </c>
      <c r="C817" t="s">
        <v>480</v>
      </c>
      <c r="D817" t="s">
        <v>12</v>
      </c>
      <c r="E817" t="s">
        <v>213</v>
      </c>
      <c r="F817" t="s">
        <v>392</v>
      </c>
      <c r="G817">
        <v>6940</v>
      </c>
    </row>
    <row r="818" spans="1:7" x14ac:dyDescent="0.35">
      <c r="A818">
        <v>2024</v>
      </c>
      <c r="B818">
        <v>10</v>
      </c>
      <c r="C818" t="s">
        <v>480</v>
      </c>
      <c r="D818" t="s">
        <v>12</v>
      </c>
      <c r="E818" t="s">
        <v>214</v>
      </c>
      <c r="F818" t="s">
        <v>394</v>
      </c>
      <c r="G818">
        <v>3176</v>
      </c>
    </row>
    <row r="819" spans="1:7" x14ac:dyDescent="0.35">
      <c r="A819">
        <v>2024</v>
      </c>
      <c r="B819">
        <v>10</v>
      </c>
      <c r="C819" t="s">
        <v>480</v>
      </c>
      <c r="D819" t="s">
        <v>12</v>
      </c>
      <c r="E819" t="s">
        <v>215</v>
      </c>
      <c r="F819" t="s">
        <v>395</v>
      </c>
      <c r="G819">
        <v>1001</v>
      </c>
    </row>
    <row r="820" spans="1:7" x14ac:dyDescent="0.35">
      <c r="A820">
        <v>2024</v>
      </c>
      <c r="B820">
        <v>10</v>
      </c>
      <c r="C820" t="s">
        <v>480</v>
      </c>
      <c r="D820" t="s">
        <v>12</v>
      </c>
      <c r="E820" t="s">
        <v>216</v>
      </c>
      <c r="F820" t="s">
        <v>396</v>
      </c>
      <c r="G820">
        <v>9185</v>
      </c>
    </row>
    <row r="821" spans="1:7" x14ac:dyDescent="0.35">
      <c r="A821">
        <v>2024</v>
      </c>
      <c r="B821">
        <v>10</v>
      </c>
      <c r="C821" t="s">
        <v>480</v>
      </c>
      <c r="D821" t="s">
        <v>12</v>
      </c>
      <c r="E821" t="s">
        <v>217</v>
      </c>
      <c r="F821" t="s">
        <v>397</v>
      </c>
      <c r="G821">
        <v>2962</v>
      </c>
    </row>
    <row r="822" spans="1:7" x14ac:dyDescent="0.35">
      <c r="A822">
        <v>2024</v>
      </c>
      <c r="B822">
        <v>10</v>
      </c>
      <c r="C822" t="s">
        <v>480</v>
      </c>
      <c r="D822" t="s">
        <v>12</v>
      </c>
      <c r="E822" t="s">
        <v>286</v>
      </c>
      <c r="F822" t="s">
        <v>466</v>
      </c>
      <c r="G822">
        <v>551</v>
      </c>
    </row>
    <row r="823" spans="1:7" x14ac:dyDescent="0.35">
      <c r="A823">
        <v>2024</v>
      </c>
      <c r="B823">
        <v>10</v>
      </c>
      <c r="C823" t="s">
        <v>480</v>
      </c>
      <c r="D823" t="s">
        <v>12</v>
      </c>
      <c r="E823" t="s">
        <v>218</v>
      </c>
      <c r="F823" t="s">
        <v>398</v>
      </c>
      <c r="G823">
        <v>7155</v>
      </c>
    </row>
    <row r="824" spans="1:7" x14ac:dyDescent="0.35">
      <c r="A824">
        <v>2024</v>
      </c>
      <c r="B824">
        <v>10</v>
      </c>
      <c r="C824" t="s">
        <v>480</v>
      </c>
      <c r="D824" t="s">
        <v>12</v>
      </c>
      <c r="E824" t="s">
        <v>219</v>
      </c>
      <c r="F824" t="s">
        <v>399</v>
      </c>
      <c r="G824">
        <v>4341</v>
      </c>
    </row>
    <row r="825" spans="1:7" x14ac:dyDescent="0.35">
      <c r="A825">
        <v>2024</v>
      </c>
      <c r="B825">
        <v>10</v>
      </c>
      <c r="C825" t="s">
        <v>480</v>
      </c>
      <c r="D825" t="s">
        <v>12</v>
      </c>
      <c r="E825" t="s">
        <v>220</v>
      </c>
      <c r="F825" t="s">
        <v>400</v>
      </c>
      <c r="G825">
        <v>4925</v>
      </c>
    </row>
    <row r="826" spans="1:7" x14ac:dyDescent="0.35">
      <c r="A826">
        <v>2024</v>
      </c>
      <c r="B826">
        <v>10</v>
      </c>
      <c r="C826" t="s">
        <v>480</v>
      </c>
      <c r="D826" t="s">
        <v>12</v>
      </c>
      <c r="E826" t="s">
        <v>221</v>
      </c>
      <c r="F826" t="s">
        <v>401</v>
      </c>
      <c r="G826">
        <v>3544</v>
      </c>
    </row>
    <row r="827" spans="1:7" x14ac:dyDescent="0.35">
      <c r="A827">
        <v>2024</v>
      </c>
      <c r="B827">
        <v>10</v>
      </c>
      <c r="C827" t="s">
        <v>480</v>
      </c>
      <c r="D827" t="s">
        <v>12</v>
      </c>
      <c r="E827" t="s">
        <v>222</v>
      </c>
      <c r="F827" t="s">
        <v>402</v>
      </c>
      <c r="G827">
        <v>7059</v>
      </c>
    </row>
    <row r="828" spans="1:7" x14ac:dyDescent="0.35">
      <c r="A828">
        <v>2024</v>
      </c>
      <c r="B828">
        <v>10</v>
      </c>
      <c r="C828" t="s">
        <v>480</v>
      </c>
      <c r="D828" t="s">
        <v>28</v>
      </c>
      <c r="E828" t="s">
        <v>223</v>
      </c>
      <c r="F828" t="s">
        <v>403</v>
      </c>
      <c r="G828">
        <v>24258</v>
      </c>
    </row>
    <row r="829" spans="1:7" x14ac:dyDescent="0.35">
      <c r="A829">
        <v>2024</v>
      </c>
      <c r="B829">
        <v>10</v>
      </c>
      <c r="C829" t="s">
        <v>480</v>
      </c>
      <c r="D829" t="s">
        <v>28</v>
      </c>
      <c r="E829" t="s">
        <v>224</v>
      </c>
      <c r="F829" t="s">
        <v>404</v>
      </c>
      <c r="G829">
        <v>8447</v>
      </c>
    </row>
    <row r="830" spans="1:7" x14ac:dyDescent="0.35">
      <c r="A830">
        <v>2024</v>
      </c>
      <c r="B830">
        <v>10</v>
      </c>
      <c r="C830" t="s">
        <v>480</v>
      </c>
      <c r="D830" t="s">
        <v>64</v>
      </c>
      <c r="E830" t="s">
        <v>225</v>
      </c>
      <c r="F830" t="s">
        <v>405</v>
      </c>
      <c r="G830">
        <v>4269</v>
      </c>
    </row>
    <row r="831" spans="1:7" x14ac:dyDescent="0.35">
      <c r="A831">
        <v>2024</v>
      </c>
      <c r="B831">
        <v>10</v>
      </c>
      <c r="C831" t="s">
        <v>480</v>
      </c>
      <c r="D831" t="s">
        <v>29</v>
      </c>
      <c r="E831" t="s">
        <v>226</v>
      </c>
      <c r="F831" t="s">
        <v>406</v>
      </c>
      <c r="G831">
        <v>754</v>
      </c>
    </row>
    <row r="832" spans="1:7" x14ac:dyDescent="0.35">
      <c r="A832">
        <v>2024</v>
      </c>
      <c r="B832">
        <v>10</v>
      </c>
      <c r="C832" t="s">
        <v>480</v>
      </c>
      <c r="D832" t="s">
        <v>102</v>
      </c>
      <c r="E832" t="s">
        <v>227</v>
      </c>
      <c r="F832" t="s">
        <v>407</v>
      </c>
      <c r="G832">
        <v>252622</v>
      </c>
    </row>
    <row r="833" spans="1:7" x14ac:dyDescent="0.35">
      <c r="A833">
        <v>2024</v>
      </c>
      <c r="B833">
        <v>10</v>
      </c>
      <c r="C833" t="s">
        <v>480</v>
      </c>
      <c r="D833" t="s">
        <v>25</v>
      </c>
      <c r="E833" t="s">
        <v>274</v>
      </c>
      <c r="F833" t="s">
        <v>454</v>
      </c>
      <c r="G833">
        <v>97900</v>
      </c>
    </row>
    <row r="834" spans="1:7" x14ac:dyDescent="0.35">
      <c r="A834">
        <v>2024</v>
      </c>
      <c r="B834">
        <v>10</v>
      </c>
      <c r="C834" t="s">
        <v>480</v>
      </c>
      <c r="D834" t="s">
        <v>229</v>
      </c>
      <c r="E834" t="s">
        <v>230</v>
      </c>
      <c r="F834" t="s">
        <v>409</v>
      </c>
      <c r="G834">
        <v>85480</v>
      </c>
    </row>
    <row r="835" spans="1:7" x14ac:dyDescent="0.35">
      <c r="A835">
        <v>2024</v>
      </c>
      <c r="B835">
        <v>10</v>
      </c>
      <c r="C835" t="s">
        <v>480</v>
      </c>
      <c r="D835" t="s">
        <v>13</v>
      </c>
      <c r="E835" t="s">
        <v>232</v>
      </c>
      <c r="F835" t="s">
        <v>411</v>
      </c>
      <c r="G835">
        <v>1030</v>
      </c>
    </row>
    <row r="836" spans="1:7" x14ac:dyDescent="0.35">
      <c r="A836">
        <v>2024</v>
      </c>
      <c r="B836">
        <v>10</v>
      </c>
      <c r="C836" t="s">
        <v>480</v>
      </c>
      <c r="D836" t="s">
        <v>94</v>
      </c>
      <c r="E836" t="s">
        <v>233</v>
      </c>
      <c r="F836" t="s">
        <v>412</v>
      </c>
      <c r="G836">
        <v>30300</v>
      </c>
    </row>
    <row r="837" spans="1:7" x14ac:dyDescent="0.35">
      <c r="A837">
        <v>2024</v>
      </c>
      <c r="B837">
        <v>10</v>
      </c>
      <c r="C837" t="s">
        <v>480</v>
      </c>
      <c r="D837" t="s">
        <v>36</v>
      </c>
      <c r="E837" t="s">
        <v>275</v>
      </c>
      <c r="F837" t="s">
        <v>455</v>
      </c>
      <c r="G837">
        <v>9203</v>
      </c>
    </row>
    <row r="838" spans="1:7" x14ac:dyDescent="0.35">
      <c r="A838">
        <v>2024</v>
      </c>
      <c r="B838">
        <v>10</v>
      </c>
      <c r="C838" t="s">
        <v>480</v>
      </c>
      <c r="D838" t="s">
        <v>40</v>
      </c>
      <c r="E838" t="s">
        <v>235</v>
      </c>
      <c r="F838" t="s">
        <v>414</v>
      </c>
      <c r="G838">
        <v>4786</v>
      </c>
    </row>
    <row r="839" spans="1:7" x14ac:dyDescent="0.35">
      <c r="A839">
        <v>2024</v>
      </c>
      <c r="B839">
        <v>10</v>
      </c>
      <c r="C839" t="s">
        <v>480</v>
      </c>
      <c r="D839" t="s">
        <v>45</v>
      </c>
      <c r="E839" t="s">
        <v>276</v>
      </c>
      <c r="F839" t="s">
        <v>456</v>
      </c>
      <c r="G839">
        <v>132976</v>
      </c>
    </row>
    <row r="840" spans="1:7" x14ac:dyDescent="0.35">
      <c r="A840">
        <v>2024</v>
      </c>
      <c r="B840">
        <v>10</v>
      </c>
      <c r="C840" t="s">
        <v>480</v>
      </c>
      <c r="D840" t="s">
        <v>76</v>
      </c>
      <c r="E840" t="s">
        <v>236</v>
      </c>
      <c r="F840" t="s">
        <v>415</v>
      </c>
      <c r="G840">
        <v>-1294889</v>
      </c>
    </row>
    <row r="841" spans="1:7" x14ac:dyDescent="0.35">
      <c r="A841">
        <v>2024</v>
      </c>
      <c r="B841">
        <v>10</v>
      </c>
      <c r="C841" t="s">
        <v>480</v>
      </c>
      <c r="D841" t="s">
        <v>76</v>
      </c>
      <c r="E841" t="s">
        <v>237</v>
      </c>
      <c r="F841" t="s">
        <v>416</v>
      </c>
      <c r="G841">
        <v>252621.57</v>
      </c>
    </row>
    <row r="842" spans="1:7" x14ac:dyDescent="0.35">
      <c r="A842">
        <v>2024</v>
      </c>
      <c r="B842">
        <v>10</v>
      </c>
      <c r="C842" t="s">
        <v>480</v>
      </c>
      <c r="D842" t="s">
        <v>76</v>
      </c>
      <c r="E842" t="s">
        <v>238</v>
      </c>
      <c r="F842" t="s">
        <v>417</v>
      </c>
      <c r="G842">
        <v>-236062.37</v>
      </c>
    </row>
    <row r="843" spans="1:7" x14ac:dyDescent="0.35">
      <c r="A843">
        <v>2024</v>
      </c>
      <c r="B843">
        <v>10</v>
      </c>
      <c r="C843" t="s">
        <v>480</v>
      </c>
      <c r="D843" t="s">
        <v>76</v>
      </c>
      <c r="E843" t="s">
        <v>239</v>
      </c>
      <c r="F843" t="s">
        <v>418</v>
      </c>
      <c r="G843">
        <v>4183681.1</v>
      </c>
    </row>
    <row r="844" spans="1:7" x14ac:dyDescent="0.35">
      <c r="A844">
        <v>2024</v>
      </c>
      <c r="B844">
        <v>10</v>
      </c>
      <c r="C844" t="s">
        <v>480</v>
      </c>
      <c r="D844" t="s">
        <v>35</v>
      </c>
      <c r="E844" t="s">
        <v>240</v>
      </c>
      <c r="F844" t="s">
        <v>419</v>
      </c>
      <c r="G844">
        <v>195894</v>
      </c>
    </row>
    <row r="845" spans="1:7" x14ac:dyDescent="0.35">
      <c r="A845">
        <v>2024</v>
      </c>
      <c r="B845">
        <v>10</v>
      </c>
      <c r="C845" t="s">
        <v>480</v>
      </c>
      <c r="D845" t="s">
        <v>103</v>
      </c>
      <c r="E845" t="s">
        <v>242</v>
      </c>
      <c r="F845" t="s">
        <v>421</v>
      </c>
      <c r="G845">
        <v>-236062</v>
      </c>
    </row>
    <row r="846" spans="1:7" x14ac:dyDescent="0.35">
      <c r="A846">
        <v>2024</v>
      </c>
      <c r="B846">
        <v>10</v>
      </c>
      <c r="C846" t="s">
        <v>480</v>
      </c>
      <c r="D846" t="s">
        <v>104</v>
      </c>
      <c r="E846" t="s">
        <v>243</v>
      </c>
      <c r="F846" t="s">
        <v>422</v>
      </c>
      <c r="G846">
        <v>4183681</v>
      </c>
    </row>
    <row r="847" spans="1:7" x14ac:dyDescent="0.35">
      <c r="A847">
        <v>2024</v>
      </c>
      <c r="B847">
        <v>10</v>
      </c>
      <c r="C847" t="s">
        <v>480</v>
      </c>
      <c r="D847" t="s">
        <v>244</v>
      </c>
      <c r="E847" t="s">
        <v>245</v>
      </c>
      <c r="F847" t="s">
        <v>423</v>
      </c>
      <c r="G847">
        <v>-423183</v>
      </c>
    </row>
    <row r="848" spans="1:7" x14ac:dyDescent="0.35">
      <c r="A848">
        <v>2024</v>
      </c>
      <c r="B848">
        <v>10</v>
      </c>
      <c r="C848" t="s">
        <v>480</v>
      </c>
      <c r="D848" t="s">
        <v>14</v>
      </c>
      <c r="E848" t="s">
        <v>131</v>
      </c>
      <c r="F848" t="s">
        <v>425</v>
      </c>
      <c r="G848">
        <v>181915</v>
      </c>
    </row>
    <row r="849" spans="1:7" x14ac:dyDescent="0.35">
      <c r="A849">
        <v>2024</v>
      </c>
      <c r="B849">
        <v>10</v>
      </c>
      <c r="C849" t="s">
        <v>480</v>
      </c>
      <c r="D849" t="s">
        <v>30</v>
      </c>
      <c r="E849" t="s">
        <v>247</v>
      </c>
      <c r="F849" t="s">
        <v>426</v>
      </c>
      <c r="G849">
        <v>15954</v>
      </c>
    </row>
    <row r="850" spans="1:7" x14ac:dyDescent="0.35">
      <c r="A850">
        <v>2024</v>
      </c>
      <c r="B850">
        <v>10</v>
      </c>
      <c r="C850" t="s">
        <v>480</v>
      </c>
      <c r="D850" t="s">
        <v>15</v>
      </c>
      <c r="E850" t="s">
        <v>248</v>
      </c>
      <c r="F850" t="s">
        <v>427</v>
      </c>
      <c r="G850">
        <v>32655</v>
      </c>
    </row>
    <row r="851" spans="1:7" x14ac:dyDescent="0.35">
      <c r="A851">
        <v>2024</v>
      </c>
      <c r="B851">
        <v>10</v>
      </c>
      <c r="C851" t="s">
        <v>480</v>
      </c>
      <c r="D851" t="s">
        <v>52</v>
      </c>
      <c r="E851" t="s">
        <v>303</v>
      </c>
      <c r="F851" t="s">
        <v>483</v>
      </c>
      <c r="G851">
        <v>8179</v>
      </c>
    </row>
    <row r="852" spans="1:7" x14ac:dyDescent="0.35">
      <c r="A852">
        <v>2024</v>
      </c>
      <c r="B852">
        <v>10</v>
      </c>
      <c r="C852" t="s">
        <v>480</v>
      </c>
      <c r="D852" t="s">
        <v>90</v>
      </c>
      <c r="E852" t="s">
        <v>277</v>
      </c>
      <c r="F852" t="s">
        <v>457</v>
      </c>
      <c r="G852">
        <v>9504.1299999999992</v>
      </c>
    </row>
    <row r="853" spans="1:7" x14ac:dyDescent="0.35">
      <c r="A853">
        <v>2024</v>
      </c>
      <c r="B853">
        <v>10</v>
      </c>
      <c r="C853" t="s">
        <v>480</v>
      </c>
      <c r="D853" t="s">
        <v>90</v>
      </c>
      <c r="E853" t="s">
        <v>249</v>
      </c>
      <c r="F853" t="s">
        <v>428</v>
      </c>
      <c r="G853">
        <v>11048.4</v>
      </c>
    </row>
    <row r="854" spans="1:7" x14ac:dyDescent="0.35">
      <c r="A854">
        <v>2024</v>
      </c>
      <c r="B854">
        <v>10</v>
      </c>
      <c r="C854" t="s">
        <v>480</v>
      </c>
      <c r="D854" t="s">
        <v>84</v>
      </c>
      <c r="E854" t="s">
        <v>250</v>
      </c>
      <c r="F854" t="s">
        <v>429</v>
      </c>
      <c r="G854">
        <v>1333652.29</v>
      </c>
    </row>
    <row r="855" spans="1:7" x14ac:dyDescent="0.35">
      <c r="A855">
        <v>2024</v>
      </c>
      <c r="B855">
        <v>10</v>
      </c>
      <c r="C855" t="s">
        <v>480</v>
      </c>
      <c r="D855" t="s">
        <v>81</v>
      </c>
      <c r="E855" t="s">
        <v>252</v>
      </c>
      <c r="F855" t="s">
        <v>431</v>
      </c>
      <c r="G855">
        <v>2767064.46</v>
      </c>
    </row>
    <row r="856" spans="1:7" x14ac:dyDescent="0.35">
      <c r="A856">
        <v>2024</v>
      </c>
      <c r="B856">
        <v>10</v>
      </c>
      <c r="C856" t="s">
        <v>480</v>
      </c>
      <c r="D856" t="s">
        <v>81</v>
      </c>
      <c r="E856" t="s">
        <v>289</v>
      </c>
      <c r="F856" t="s">
        <v>471</v>
      </c>
      <c r="G856">
        <v>249000</v>
      </c>
    </row>
    <row r="857" spans="1:7" x14ac:dyDescent="0.35">
      <c r="A857">
        <v>2024</v>
      </c>
      <c r="B857">
        <v>10</v>
      </c>
      <c r="C857" t="s">
        <v>480</v>
      </c>
      <c r="D857" t="s">
        <v>81</v>
      </c>
      <c r="E857" t="s">
        <v>304</v>
      </c>
      <c r="F857" t="s">
        <v>484</v>
      </c>
      <c r="G857">
        <v>28420</v>
      </c>
    </row>
    <row r="858" spans="1:7" x14ac:dyDescent="0.35">
      <c r="A858">
        <v>2024</v>
      </c>
      <c r="B858">
        <v>10</v>
      </c>
      <c r="C858" t="s">
        <v>480</v>
      </c>
      <c r="D858" t="s">
        <v>44</v>
      </c>
      <c r="E858" t="s">
        <v>253</v>
      </c>
      <c r="F858" t="s">
        <v>432</v>
      </c>
      <c r="G858">
        <v>81620</v>
      </c>
    </row>
    <row r="859" spans="1:7" x14ac:dyDescent="0.35">
      <c r="A859">
        <v>2024</v>
      </c>
      <c r="B859">
        <v>10</v>
      </c>
      <c r="C859" t="s">
        <v>480</v>
      </c>
      <c r="D859" t="s">
        <v>16</v>
      </c>
      <c r="E859" t="s">
        <v>254</v>
      </c>
      <c r="F859" t="s">
        <v>433</v>
      </c>
      <c r="G859">
        <v>27548</v>
      </c>
    </row>
    <row r="860" spans="1:7" x14ac:dyDescent="0.35">
      <c r="A860">
        <v>2024</v>
      </c>
      <c r="B860">
        <v>10</v>
      </c>
      <c r="C860" t="s">
        <v>480</v>
      </c>
      <c r="D860" t="s">
        <v>34</v>
      </c>
      <c r="E860" t="s">
        <v>278</v>
      </c>
      <c r="F860" t="s">
        <v>458</v>
      </c>
      <c r="G860">
        <v>17538</v>
      </c>
    </row>
    <row r="861" spans="1:7" x14ac:dyDescent="0.35">
      <c r="A861">
        <v>2024</v>
      </c>
      <c r="B861">
        <v>10</v>
      </c>
      <c r="C861" t="s">
        <v>480</v>
      </c>
      <c r="D861" t="s">
        <v>55</v>
      </c>
      <c r="E861" t="s">
        <v>287</v>
      </c>
      <c r="F861" t="s">
        <v>467</v>
      </c>
      <c r="G861">
        <v>67366</v>
      </c>
    </row>
    <row r="862" spans="1:7" x14ac:dyDescent="0.35">
      <c r="A862">
        <v>2024</v>
      </c>
      <c r="B862">
        <v>10</v>
      </c>
      <c r="C862" t="s">
        <v>480</v>
      </c>
      <c r="D862" t="s">
        <v>17</v>
      </c>
      <c r="E862" t="s">
        <v>255</v>
      </c>
      <c r="F862" t="s">
        <v>434</v>
      </c>
      <c r="G862">
        <v>6760</v>
      </c>
    </row>
    <row r="863" spans="1:7" x14ac:dyDescent="0.35">
      <c r="A863">
        <v>2024</v>
      </c>
      <c r="B863">
        <v>10</v>
      </c>
      <c r="C863" t="s">
        <v>480</v>
      </c>
      <c r="D863" t="s">
        <v>37</v>
      </c>
      <c r="E863" t="s">
        <v>256</v>
      </c>
      <c r="F863" t="s">
        <v>435</v>
      </c>
      <c r="G863">
        <v>-29386.9</v>
      </c>
    </row>
    <row r="864" spans="1:7" x14ac:dyDescent="0.35">
      <c r="A864">
        <v>2024</v>
      </c>
      <c r="B864">
        <v>10</v>
      </c>
      <c r="C864" t="s">
        <v>480</v>
      </c>
      <c r="D864" t="s">
        <v>37</v>
      </c>
      <c r="E864" t="s">
        <v>257</v>
      </c>
      <c r="F864" t="s">
        <v>436</v>
      </c>
      <c r="G864">
        <v>-3276535.48</v>
      </c>
    </row>
    <row r="865" spans="1:7" x14ac:dyDescent="0.35">
      <c r="A865">
        <v>2024</v>
      </c>
      <c r="B865">
        <v>10</v>
      </c>
      <c r="C865" t="s">
        <v>480</v>
      </c>
      <c r="D865" t="s">
        <v>18</v>
      </c>
      <c r="E865" t="s">
        <v>259</v>
      </c>
      <c r="F865" t="s">
        <v>438</v>
      </c>
      <c r="G865">
        <v>40456</v>
      </c>
    </row>
    <row r="866" spans="1:7" x14ac:dyDescent="0.35">
      <c r="A866">
        <v>2024</v>
      </c>
      <c r="B866">
        <v>11</v>
      </c>
      <c r="C866" t="s">
        <v>486</v>
      </c>
      <c r="E866" t="s">
        <v>291</v>
      </c>
      <c r="F866" t="s">
        <v>474</v>
      </c>
      <c r="G866">
        <v>12580</v>
      </c>
    </row>
    <row r="867" spans="1:7" x14ac:dyDescent="0.35">
      <c r="A867">
        <v>2024</v>
      </c>
      <c r="B867">
        <v>11</v>
      </c>
      <c r="C867" t="s">
        <v>486</v>
      </c>
      <c r="E867" t="s">
        <v>293</v>
      </c>
      <c r="F867" t="s">
        <v>477</v>
      </c>
      <c r="G867">
        <v>372</v>
      </c>
    </row>
    <row r="868" spans="1:7" x14ac:dyDescent="0.35">
      <c r="A868">
        <v>2024</v>
      </c>
      <c r="B868">
        <v>11</v>
      </c>
      <c r="C868" t="s">
        <v>486</v>
      </c>
      <c r="D868" t="s">
        <v>38</v>
      </c>
      <c r="E868" t="s">
        <v>122</v>
      </c>
      <c r="F868" t="s">
        <v>314</v>
      </c>
      <c r="G868">
        <v>27090</v>
      </c>
    </row>
    <row r="869" spans="1:7" x14ac:dyDescent="0.35">
      <c r="A869">
        <v>2024</v>
      </c>
      <c r="B869">
        <v>11</v>
      </c>
      <c r="C869" t="s">
        <v>486</v>
      </c>
      <c r="D869" t="s">
        <v>6</v>
      </c>
      <c r="E869" t="s">
        <v>135</v>
      </c>
      <c r="F869" t="s">
        <v>316</v>
      </c>
      <c r="G869">
        <v>22905</v>
      </c>
    </row>
    <row r="870" spans="1:7" x14ac:dyDescent="0.35">
      <c r="A870">
        <v>2024</v>
      </c>
      <c r="B870">
        <v>11</v>
      </c>
      <c r="C870" t="s">
        <v>486</v>
      </c>
      <c r="D870" t="s">
        <v>6</v>
      </c>
      <c r="E870" t="s">
        <v>136</v>
      </c>
      <c r="F870" t="s">
        <v>317</v>
      </c>
      <c r="G870">
        <v>47875</v>
      </c>
    </row>
    <row r="871" spans="1:7" x14ac:dyDescent="0.35">
      <c r="A871">
        <v>2024</v>
      </c>
      <c r="B871">
        <v>11</v>
      </c>
      <c r="C871" t="s">
        <v>486</v>
      </c>
      <c r="D871" t="s">
        <v>6</v>
      </c>
      <c r="E871" t="s">
        <v>137</v>
      </c>
      <c r="F871" t="s">
        <v>318</v>
      </c>
      <c r="G871">
        <v>29239</v>
      </c>
    </row>
    <row r="872" spans="1:7" x14ac:dyDescent="0.35">
      <c r="A872">
        <v>2024</v>
      </c>
      <c r="B872">
        <v>11</v>
      </c>
      <c r="C872" t="s">
        <v>486</v>
      </c>
      <c r="D872" t="s">
        <v>6</v>
      </c>
      <c r="E872" t="s">
        <v>138</v>
      </c>
      <c r="F872" t="s">
        <v>319</v>
      </c>
      <c r="G872">
        <v>18424</v>
      </c>
    </row>
    <row r="873" spans="1:7" x14ac:dyDescent="0.35">
      <c r="A873">
        <v>2024</v>
      </c>
      <c r="B873">
        <v>11</v>
      </c>
      <c r="C873" t="s">
        <v>486</v>
      </c>
      <c r="D873" t="s">
        <v>62</v>
      </c>
      <c r="E873" t="s">
        <v>260</v>
      </c>
      <c r="F873" t="s">
        <v>440</v>
      </c>
      <c r="G873">
        <v>125375</v>
      </c>
    </row>
    <row r="874" spans="1:7" x14ac:dyDescent="0.35">
      <c r="A874">
        <v>2024</v>
      </c>
      <c r="B874">
        <v>11</v>
      </c>
      <c r="C874" t="s">
        <v>486</v>
      </c>
      <c r="D874" t="s">
        <v>62</v>
      </c>
      <c r="E874" t="s">
        <v>288</v>
      </c>
      <c r="F874" t="s">
        <v>470</v>
      </c>
      <c r="G874">
        <v>1165</v>
      </c>
    </row>
    <row r="875" spans="1:7" x14ac:dyDescent="0.35">
      <c r="A875">
        <v>2024</v>
      </c>
      <c r="B875">
        <v>11</v>
      </c>
      <c r="C875" t="s">
        <v>486</v>
      </c>
      <c r="D875" t="s">
        <v>62</v>
      </c>
      <c r="E875" t="s">
        <v>139</v>
      </c>
      <c r="F875" t="s">
        <v>320</v>
      </c>
      <c r="G875">
        <v>138</v>
      </c>
    </row>
    <row r="876" spans="1:7" x14ac:dyDescent="0.35">
      <c r="A876">
        <v>2024</v>
      </c>
      <c r="B876">
        <v>11</v>
      </c>
      <c r="C876" t="s">
        <v>486</v>
      </c>
      <c r="D876" t="s">
        <v>62</v>
      </c>
      <c r="E876" t="s">
        <v>261</v>
      </c>
      <c r="F876" t="s">
        <v>441</v>
      </c>
      <c r="G876">
        <v>8942</v>
      </c>
    </row>
    <row r="877" spans="1:7" x14ac:dyDescent="0.35">
      <c r="A877">
        <v>2024</v>
      </c>
      <c r="B877">
        <v>11</v>
      </c>
      <c r="C877" t="s">
        <v>486</v>
      </c>
      <c r="D877" t="s">
        <v>19</v>
      </c>
      <c r="E877" t="s">
        <v>142</v>
      </c>
      <c r="F877" t="s">
        <v>323</v>
      </c>
      <c r="G877">
        <v>2215</v>
      </c>
    </row>
    <row r="878" spans="1:7" x14ac:dyDescent="0.35">
      <c r="A878">
        <v>2024</v>
      </c>
      <c r="B878">
        <v>11</v>
      </c>
      <c r="C878" t="s">
        <v>486</v>
      </c>
      <c r="D878" t="s">
        <v>31</v>
      </c>
      <c r="E878" t="s">
        <v>143</v>
      </c>
      <c r="F878" t="s">
        <v>324</v>
      </c>
      <c r="G878">
        <v>99140</v>
      </c>
    </row>
    <row r="879" spans="1:7" x14ac:dyDescent="0.35">
      <c r="A879">
        <v>2024</v>
      </c>
      <c r="B879">
        <v>11</v>
      </c>
      <c r="C879" t="s">
        <v>486</v>
      </c>
      <c r="D879" t="s">
        <v>91</v>
      </c>
      <c r="E879" t="s">
        <v>523</v>
      </c>
      <c r="F879" t="s">
        <v>524</v>
      </c>
      <c r="G879">
        <v>385999.2</v>
      </c>
    </row>
    <row r="880" spans="1:7" x14ac:dyDescent="0.35">
      <c r="A880">
        <v>2024</v>
      </c>
      <c r="B880">
        <v>11</v>
      </c>
      <c r="C880" t="s">
        <v>486</v>
      </c>
      <c r="D880" t="s">
        <v>26</v>
      </c>
      <c r="E880" t="s">
        <v>144</v>
      </c>
      <c r="F880" t="s">
        <v>325</v>
      </c>
      <c r="G880">
        <v>29040</v>
      </c>
    </row>
    <row r="881" spans="1:7" x14ac:dyDescent="0.35">
      <c r="A881">
        <v>2024</v>
      </c>
      <c r="B881">
        <v>11</v>
      </c>
      <c r="C881" t="s">
        <v>486</v>
      </c>
      <c r="D881" t="s">
        <v>7</v>
      </c>
      <c r="E881" t="s">
        <v>147</v>
      </c>
      <c r="F881" t="s">
        <v>328</v>
      </c>
      <c r="G881">
        <v>89001</v>
      </c>
    </row>
    <row r="882" spans="1:7" x14ac:dyDescent="0.35">
      <c r="A882">
        <v>2024</v>
      </c>
      <c r="B882">
        <v>11</v>
      </c>
      <c r="C882" t="s">
        <v>486</v>
      </c>
      <c r="D882" t="s">
        <v>67</v>
      </c>
      <c r="E882" t="s">
        <v>148</v>
      </c>
      <c r="F882" t="s">
        <v>329</v>
      </c>
      <c r="G882">
        <v>3017</v>
      </c>
    </row>
    <row r="883" spans="1:7" x14ac:dyDescent="0.35">
      <c r="A883">
        <v>2024</v>
      </c>
      <c r="B883">
        <v>11</v>
      </c>
      <c r="C883" t="s">
        <v>486</v>
      </c>
      <c r="D883" t="s">
        <v>67</v>
      </c>
      <c r="E883" t="s">
        <v>149</v>
      </c>
      <c r="F883" t="s">
        <v>330</v>
      </c>
      <c r="G883">
        <v>6455</v>
      </c>
    </row>
    <row r="884" spans="1:7" x14ac:dyDescent="0.35">
      <c r="A884">
        <v>2024</v>
      </c>
      <c r="B884">
        <v>11</v>
      </c>
      <c r="C884" t="s">
        <v>486</v>
      </c>
      <c r="D884" t="s">
        <v>67</v>
      </c>
      <c r="E884" t="s">
        <v>150</v>
      </c>
      <c r="F884" t="s">
        <v>331</v>
      </c>
      <c r="G884">
        <v>38649</v>
      </c>
    </row>
    <row r="885" spans="1:7" x14ac:dyDescent="0.35">
      <c r="A885">
        <v>2024</v>
      </c>
      <c r="B885">
        <v>11</v>
      </c>
      <c r="C885" t="s">
        <v>486</v>
      </c>
      <c r="D885" t="s">
        <v>67</v>
      </c>
      <c r="E885" t="s">
        <v>151</v>
      </c>
      <c r="F885" t="s">
        <v>332</v>
      </c>
      <c r="G885">
        <v>1590</v>
      </c>
    </row>
    <row r="886" spans="1:7" x14ac:dyDescent="0.35">
      <c r="A886">
        <v>2024</v>
      </c>
      <c r="B886">
        <v>11</v>
      </c>
      <c r="C886" t="s">
        <v>486</v>
      </c>
      <c r="D886" t="s">
        <v>67</v>
      </c>
      <c r="E886" t="s">
        <v>152</v>
      </c>
      <c r="F886" t="s">
        <v>333</v>
      </c>
      <c r="G886">
        <v>6683</v>
      </c>
    </row>
    <row r="887" spans="1:7" x14ac:dyDescent="0.35">
      <c r="A887">
        <v>2024</v>
      </c>
      <c r="B887">
        <v>11</v>
      </c>
      <c r="C887" t="s">
        <v>486</v>
      </c>
      <c r="D887" t="s">
        <v>93</v>
      </c>
      <c r="E887" t="s">
        <v>153</v>
      </c>
      <c r="F887" t="s">
        <v>334</v>
      </c>
      <c r="G887">
        <v>51398.76</v>
      </c>
    </row>
    <row r="888" spans="1:7" x14ac:dyDescent="0.35">
      <c r="A888">
        <v>2024</v>
      </c>
      <c r="B888">
        <v>11</v>
      </c>
      <c r="C888" t="s">
        <v>486</v>
      </c>
      <c r="D888" t="s">
        <v>93</v>
      </c>
      <c r="E888" t="s">
        <v>154</v>
      </c>
      <c r="F888" t="s">
        <v>335</v>
      </c>
      <c r="G888">
        <v>27264.84</v>
      </c>
    </row>
    <row r="889" spans="1:7" x14ac:dyDescent="0.35">
      <c r="A889">
        <v>2024</v>
      </c>
      <c r="B889">
        <v>11</v>
      </c>
      <c r="C889" t="s">
        <v>486</v>
      </c>
      <c r="D889" t="s">
        <v>93</v>
      </c>
      <c r="E889" t="s">
        <v>281</v>
      </c>
      <c r="F889" t="s">
        <v>461</v>
      </c>
      <c r="G889">
        <v>1323.7</v>
      </c>
    </row>
    <row r="890" spans="1:7" x14ac:dyDescent="0.35">
      <c r="A890">
        <v>2024</v>
      </c>
      <c r="B890">
        <v>11</v>
      </c>
      <c r="C890" t="s">
        <v>486</v>
      </c>
      <c r="D890" t="s">
        <v>89</v>
      </c>
      <c r="E890" t="s">
        <v>155</v>
      </c>
      <c r="F890" t="s">
        <v>336</v>
      </c>
      <c r="G890">
        <v>-29006.75</v>
      </c>
    </row>
    <row r="891" spans="1:7" x14ac:dyDescent="0.35">
      <c r="A891">
        <v>2024</v>
      </c>
      <c r="B891">
        <v>11</v>
      </c>
      <c r="C891" t="s">
        <v>486</v>
      </c>
      <c r="D891" t="s">
        <v>89</v>
      </c>
      <c r="E891" t="s">
        <v>156</v>
      </c>
      <c r="F891" t="s">
        <v>337</v>
      </c>
      <c r="G891">
        <v>156860.03</v>
      </c>
    </row>
    <row r="892" spans="1:7" x14ac:dyDescent="0.35">
      <c r="A892">
        <v>2024</v>
      </c>
      <c r="B892">
        <v>11</v>
      </c>
      <c r="C892" t="s">
        <v>486</v>
      </c>
      <c r="D892" t="s">
        <v>61</v>
      </c>
      <c r="E892" t="s">
        <v>262</v>
      </c>
      <c r="F892" t="s">
        <v>442</v>
      </c>
      <c r="G892">
        <v>78427</v>
      </c>
    </row>
    <row r="893" spans="1:7" x14ac:dyDescent="0.35">
      <c r="A893">
        <v>2024</v>
      </c>
      <c r="B893">
        <v>11</v>
      </c>
      <c r="C893" t="s">
        <v>486</v>
      </c>
      <c r="D893" t="s">
        <v>8</v>
      </c>
      <c r="E893" t="s">
        <v>157</v>
      </c>
      <c r="F893" t="s">
        <v>338</v>
      </c>
      <c r="G893">
        <v>5118</v>
      </c>
    </row>
    <row r="894" spans="1:7" x14ac:dyDescent="0.35">
      <c r="A894">
        <v>2024</v>
      </c>
      <c r="B894">
        <v>11</v>
      </c>
      <c r="C894" t="s">
        <v>486</v>
      </c>
      <c r="D894" t="s">
        <v>487</v>
      </c>
      <c r="E894" t="s">
        <v>488</v>
      </c>
      <c r="F894" t="s">
        <v>489</v>
      </c>
      <c r="G894">
        <v>2750</v>
      </c>
    </row>
    <row r="895" spans="1:7" x14ac:dyDescent="0.35">
      <c r="A895">
        <v>2024</v>
      </c>
      <c r="B895">
        <v>11</v>
      </c>
      <c r="C895" t="s">
        <v>486</v>
      </c>
      <c r="D895" t="s">
        <v>20</v>
      </c>
      <c r="E895" t="s">
        <v>158</v>
      </c>
      <c r="F895" t="s">
        <v>339</v>
      </c>
      <c r="G895">
        <v>773532</v>
      </c>
    </row>
    <row r="896" spans="1:7" x14ac:dyDescent="0.35">
      <c r="A896">
        <v>2024</v>
      </c>
      <c r="B896">
        <v>11</v>
      </c>
      <c r="C896" t="s">
        <v>486</v>
      </c>
      <c r="D896" t="s">
        <v>21</v>
      </c>
      <c r="E896" t="s">
        <v>159</v>
      </c>
      <c r="F896" t="s">
        <v>340</v>
      </c>
      <c r="G896">
        <v>219925</v>
      </c>
    </row>
    <row r="897" spans="1:7" x14ac:dyDescent="0.35">
      <c r="A897">
        <v>2024</v>
      </c>
      <c r="B897">
        <v>11</v>
      </c>
      <c r="C897" t="s">
        <v>486</v>
      </c>
      <c r="D897" t="s">
        <v>160</v>
      </c>
      <c r="E897" t="s">
        <v>161</v>
      </c>
      <c r="F897" t="s">
        <v>341</v>
      </c>
      <c r="G897">
        <v>44751</v>
      </c>
    </row>
    <row r="898" spans="1:7" x14ac:dyDescent="0.35">
      <c r="A898">
        <v>2024</v>
      </c>
      <c r="B898">
        <v>11</v>
      </c>
      <c r="C898" t="s">
        <v>486</v>
      </c>
      <c r="D898" t="s">
        <v>32</v>
      </c>
      <c r="E898" t="s">
        <v>162</v>
      </c>
      <c r="F898" t="s">
        <v>342</v>
      </c>
      <c r="G898">
        <v>867</v>
      </c>
    </row>
    <row r="899" spans="1:7" x14ac:dyDescent="0.35">
      <c r="A899">
        <v>2024</v>
      </c>
      <c r="B899">
        <v>11</v>
      </c>
      <c r="C899" t="s">
        <v>486</v>
      </c>
      <c r="D899" t="s">
        <v>22</v>
      </c>
      <c r="E899" t="s">
        <v>165</v>
      </c>
      <c r="F899" t="s">
        <v>344</v>
      </c>
      <c r="G899">
        <v>7078</v>
      </c>
    </row>
    <row r="900" spans="1:7" x14ac:dyDescent="0.35">
      <c r="A900">
        <v>2024</v>
      </c>
      <c r="B900">
        <v>11</v>
      </c>
      <c r="C900" t="s">
        <v>486</v>
      </c>
      <c r="D900" t="s">
        <v>27</v>
      </c>
      <c r="E900" t="s">
        <v>166</v>
      </c>
      <c r="F900" t="s">
        <v>345</v>
      </c>
      <c r="G900">
        <v>49541</v>
      </c>
    </row>
    <row r="901" spans="1:7" x14ac:dyDescent="0.35">
      <c r="A901">
        <v>2024</v>
      </c>
      <c r="B901">
        <v>11</v>
      </c>
      <c r="C901" t="s">
        <v>486</v>
      </c>
      <c r="D901" t="s">
        <v>167</v>
      </c>
      <c r="E901" t="s">
        <v>167</v>
      </c>
      <c r="F901" t="s">
        <v>346</v>
      </c>
      <c r="G901">
        <v>-754454</v>
      </c>
    </row>
    <row r="902" spans="1:7" x14ac:dyDescent="0.35">
      <c r="A902">
        <v>2024</v>
      </c>
      <c r="B902">
        <v>11</v>
      </c>
      <c r="C902" t="s">
        <v>486</v>
      </c>
      <c r="D902" t="s">
        <v>9</v>
      </c>
      <c r="E902" t="s">
        <v>168</v>
      </c>
      <c r="F902" t="s">
        <v>347</v>
      </c>
      <c r="G902">
        <v>9449</v>
      </c>
    </row>
    <row r="903" spans="1:7" x14ac:dyDescent="0.35">
      <c r="A903">
        <v>2024</v>
      </c>
      <c r="B903">
        <v>11</v>
      </c>
      <c r="C903" t="s">
        <v>486</v>
      </c>
      <c r="D903" t="s">
        <v>9</v>
      </c>
      <c r="E903" t="s">
        <v>169</v>
      </c>
      <c r="F903" t="s">
        <v>348</v>
      </c>
      <c r="G903">
        <v>14460</v>
      </c>
    </row>
    <row r="904" spans="1:7" x14ac:dyDescent="0.35">
      <c r="A904">
        <v>2024</v>
      </c>
      <c r="B904">
        <v>11</v>
      </c>
      <c r="C904" t="s">
        <v>486</v>
      </c>
      <c r="D904" t="s">
        <v>72</v>
      </c>
      <c r="E904" t="s">
        <v>170</v>
      </c>
      <c r="F904" t="s">
        <v>349</v>
      </c>
      <c r="G904">
        <v>62009</v>
      </c>
    </row>
    <row r="905" spans="1:7" x14ac:dyDescent="0.35">
      <c r="A905">
        <v>2024</v>
      </c>
      <c r="B905">
        <v>11</v>
      </c>
      <c r="C905" t="s">
        <v>486</v>
      </c>
      <c r="D905" t="s">
        <v>39</v>
      </c>
      <c r="E905" t="s">
        <v>171</v>
      </c>
      <c r="F905" t="s">
        <v>350</v>
      </c>
      <c r="G905">
        <v>36145</v>
      </c>
    </row>
    <row r="906" spans="1:7" x14ac:dyDescent="0.35">
      <c r="A906">
        <v>2024</v>
      </c>
      <c r="B906">
        <v>11</v>
      </c>
      <c r="C906" t="s">
        <v>486</v>
      </c>
      <c r="D906" t="s">
        <v>10</v>
      </c>
      <c r="E906" t="s">
        <v>172</v>
      </c>
      <c r="F906" t="s">
        <v>351</v>
      </c>
      <c r="G906">
        <v>8165</v>
      </c>
    </row>
    <row r="907" spans="1:7" x14ac:dyDescent="0.35">
      <c r="A907">
        <v>2024</v>
      </c>
      <c r="B907">
        <v>11</v>
      </c>
      <c r="C907" t="s">
        <v>486</v>
      </c>
      <c r="D907" t="s">
        <v>66</v>
      </c>
      <c r="E907" t="s">
        <v>173</v>
      </c>
      <c r="F907" t="s">
        <v>352</v>
      </c>
      <c r="G907">
        <v>429717</v>
      </c>
    </row>
    <row r="908" spans="1:7" x14ac:dyDescent="0.35">
      <c r="A908">
        <v>2024</v>
      </c>
      <c r="B908">
        <v>11</v>
      </c>
      <c r="C908" t="s">
        <v>486</v>
      </c>
      <c r="D908" t="s">
        <v>66</v>
      </c>
      <c r="E908" t="s">
        <v>174</v>
      </c>
      <c r="F908" t="s">
        <v>353</v>
      </c>
      <c r="G908">
        <v>71718</v>
      </c>
    </row>
    <row r="909" spans="1:7" x14ac:dyDescent="0.35">
      <c r="A909">
        <v>2024</v>
      </c>
      <c r="B909">
        <v>11</v>
      </c>
      <c r="C909" t="s">
        <v>486</v>
      </c>
      <c r="D909" t="s">
        <v>66</v>
      </c>
      <c r="E909" t="s">
        <v>175</v>
      </c>
      <c r="F909" t="s">
        <v>354</v>
      </c>
      <c r="G909">
        <v>483</v>
      </c>
    </row>
    <row r="910" spans="1:7" x14ac:dyDescent="0.35">
      <c r="A910">
        <v>2024</v>
      </c>
      <c r="B910">
        <v>11</v>
      </c>
      <c r="C910" t="s">
        <v>486</v>
      </c>
      <c r="D910" t="s">
        <v>66</v>
      </c>
      <c r="E910" t="s">
        <v>176</v>
      </c>
      <c r="F910" t="s">
        <v>355</v>
      </c>
      <c r="G910">
        <v>43555</v>
      </c>
    </row>
    <row r="911" spans="1:7" x14ac:dyDescent="0.35">
      <c r="A911">
        <v>2024</v>
      </c>
      <c r="B911">
        <v>11</v>
      </c>
      <c r="C911" t="s">
        <v>486</v>
      </c>
      <c r="D911" t="s">
        <v>66</v>
      </c>
      <c r="E911" t="s">
        <v>177</v>
      </c>
      <c r="F911" t="s">
        <v>356</v>
      </c>
      <c r="G911">
        <v>62875</v>
      </c>
    </row>
    <row r="912" spans="1:7" x14ac:dyDescent="0.35">
      <c r="A912">
        <v>2024</v>
      </c>
      <c r="B912">
        <v>11</v>
      </c>
      <c r="C912" t="s">
        <v>486</v>
      </c>
      <c r="D912" t="s">
        <v>66</v>
      </c>
      <c r="E912" t="s">
        <v>178</v>
      </c>
      <c r="F912" t="s">
        <v>357</v>
      </c>
      <c r="G912">
        <v>7163</v>
      </c>
    </row>
    <row r="913" spans="1:7" x14ac:dyDescent="0.35">
      <c r="A913">
        <v>2024</v>
      </c>
      <c r="B913">
        <v>11</v>
      </c>
      <c r="C913" t="s">
        <v>486</v>
      </c>
      <c r="D913" t="s">
        <v>11</v>
      </c>
      <c r="E913" t="s">
        <v>179</v>
      </c>
      <c r="F913" t="s">
        <v>180</v>
      </c>
      <c r="G913">
        <v>1190</v>
      </c>
    </row>
    <row r="914" spans="1:7" x14ac:dyDescent="0.35">
      <c r="A914">
        <v>2024</v>
      </c>
      <c r="B914">
        <v>11</v>
      </c>
      <c r="C914" t="s">
        <v>486</v>
      </c>
      <c r="D914" t="s">
        <v>74</v>
      </c>
      <c r="E914" t="s">
        <v>205</v>
      </c>
      <c r="F914" t="s">
        <v>384</v>
      </c>
      <c r="G914">
        <v>1161</v>
      </c>
    </row>
    <row r="915" spans="1:7" x14ac:dyDescent="0.35">
      <c r="A915">
        <v>2024</v>
      </c>
      <c r="B915">
        <v>11</v>
      </c>
      <c r="C915" t="s">
        <v>486</v>
      </c>
      <c r="D915" t="s">
        <v>74</v>
      </c>
      <c r="E915" t="s">
        <v>185</v>
      </c>
      <c r="F915" t="s">
        <v>362</v>
      </c>
      <c r="G915">
        <v>32319</v>
      </c>
    </row>
    <row r="916" spans="1:7" x14ac:dyDescent="0.35">
      <c r="A916">
        <v>2024</v>
      </c>
      <c r="B916">
        <v>11</v>
      </c>
      <c r="C916" t="s">
        <v>486</v>
      </c>
      <c r="D916" t="s">
        <v>74</v>
      </c>
      <c r="E916" t="s">
        <v>268</v>
      </c>
      <c r="F916" t="s">
        <v>448</v>
      </c>
      <c r="G916">
        <v>378</v>
      </c>
    </row>
    <row r="917" spans="1:7" x14ac:dyDescent="0.35">
      <c r="A917">
        <v>2024</v>
      </c>
      <c r="B917">
        <v>11</v>
      </c>
      <c r="C917" t="s">
        <v>486</v>
      </c>
      <c r="D917" t="s">
        <v>74</v>
      </c>
      <c r="E917" t="s">
        <v>186</v>
      </c>
      <c r="F917" t="s">
        <v>364</v>
      </c>
      <c r="G917">
        <v>11586</v>
      </c>
    </row>
    <row r="918" spans="1:7" x14ac:dyDescent="0.35">
      <c r="A918">
        <v>2024</v>
      </c>
      <c r="B918">
        <v>11</v>
      </c>
      <c r="C918" t="s">
        <v>486</v>
      </c>
      <c r="D918" t="s">
        <v>74</v>
      </c>
      <c r="E918" t="s">
        <v>270</v>
      </c>
      <c r="F918" t="s">
        <v>450</v>
      </c>
      <c r="G918">
        <v>1651</v>
      </c>
    </row>
    <row r="919" spans="1:7" x14ac:dyDescent="0.35">
      <c r="A919">
        <v>2024</v>
      </c>
      <c r="B919">
        <v>11</v>
      </c>
      <c r="C919" t="s">
        <v>486</v>
      </c>
      <c r="D919" t="s">
        <v>85</v>
      </c>
      <c r="E919" t="s">
        <v>188</v>
      </c>
      <c r="F919" t="s">
        <v>366</v>
      </c>
      <c r="G919">
        <v>703678.53</v>
      </c>
    </row>
    <row r="920" spans="1:7" x14ac:dyDescent="0.35">
      <c r="A920">
        <v>2024</v>
      </c>
      <c r="B920">
        <v>11</v>
      </c>
      <c r="C920" t="s">
        <v>486</v>
      </c>
      <c r="D920" t="s">
        <v>106</v>
      </c>
      <c r="E920" t="s">
        <v>189</v>
      </c>
      <c r="F920" t="s">
        <v>367</v>
      </c>
      <c r="G920">
        <v>3405983</v>
      </c>
    </row>
    <row r="921" spans="1:7" x14ac:dyDescent="0.35">
      <c r="A921">
        <v>2024</v>
      </c>
      <c r="B921">
        <v>11</v>
      </c>
      <c r="C921" t="s">
        <v>486</v>
      </c>
      <c r="D921" t="s">
        <v>106</v>
      </c>
      <c r="E921" t="s">
        <v>190</v>
      </c>
      <c r="F921" t="s">
        <v>368</v>
      </c>
      <c r="G921">
        <v>139563</v>
      </c>
    </row>
    <row r="922" spans="1:7" x14ac:dyDescent="0.35">
      <c r="A922">
        <v>2024</v>
      </c>
      <c r="B922">
        <v>11</v>
      </c>
      <c r="C922" t="s">
        <v>486</v>
      </c>
      <c r="D922" t="s">
        <v>106</v>
      </c>
      <c r="E922" t="s">
        <v>191</v>
      </c>
      <c r="F922" t="s">
        <v>369</v>
      </c>
      <c r="G922">
        <v>839776</v>
      </c>
    </row>
    <row r="923" spans="1:7" x14ac:dyDescent="0.35">
      <c r="A923">
        <v>2024</v>
      </c>
      <c r="B923">
        <v>11</v>
      </c>
      <c r="C923" t="s">
        <v>486</v>
      </c>
      <c r="D923" t="s">
        <v>106</v>
      </c>
      <c r="E923" t="s">
        <v>192</v>
      </c>
      <c r="F923" t="s">
        <v>370</v>
      </c>
      <c r="G923">
        <v>304756</v>
      </c>
    </row>
    <row r="924" spans="1:7" x14ac:dyDescent="0.35">
      <c r="A924">
        <v>2024</v>
      </c>
      <c r="B924">
        <v>11</v>
      </c>
      <c r="C924" t="s">
        <v>486</v>
      </c>
      <c r="D924" t="s">
        <v>106</v>
      </c>
      <c r="E924" t="s">
        <v>284</v>
      </c>
      <c r="F924" t="s">
        <v>464</v>
      </c>
      <c r="G924">
        <v>75951</v>
      </c>
    </row>
    <row r="925" spans="1:7" x14ac:dyDescent="0.35">
      <c r="A925">
        <v>2024</v>
      </c>
      <c r="B925">
        <v>11</v>
      </c>
      <c r="C925" t="s">
        <v>486</v>
      </c>
      <c r="D925" t="s">
        <v>106</v>
      </c>
      <c r="E925" t="s">
        <v>193</v>
      </c>
      <c r="F925" t="s">
        <v>371</v>
      </c>
      <c r="G925">
        <v>71903</v>
      </c>
    </row>
    <row r="926" spans="1:7" x14ac:dyDescent="0.35">
      <c r="A926">
        <v>2024</v>
      </c>
      <c r="B926">
        <v>11</v>
      </c>
      <c r="C926" t="s">
        <v>486</v>
      </c>
      <c r="D926" t="s">
        <v>106</v>
      </c>
      <c r="E926" t="s">
        <v>194</v>
      </c>
      <c r="F926" t="s">
        <v>372</v>
      </c>
      <c r="G926">
        <v>600</v>
      </c>
    </row>
    <row r="927" spans="1:7" x14ac:dyDescent="0.35">
      <c r="A927">
        <v>2024</v>
      </c>
      <c r="B927">
        <v>11</v>
      </c>
      <c r="C927" t="s">
        <v>486</v>
      </c>
      <c r="D927" t="s">
        <v>106</v>
      </c>
      <c r="E927" t="s">
        <v>195</v>
      </c>
      <c r="F927" t="s">
        <v>373</v>
      </c>
      <c r="G927">
        <v>131599</v>
      </c>
    </row>
    <row r="928" spans="1:7" x14ac:dyDescent="0.35">
      <c r="A928">
        <v>2024</v>
      </c>
      <c r="B928">
        <v>11</v>
      </c>
      <c r="C928" t="s">
        <v>486</v>
      </c>
      <c r="D928" t="s">
        <v>490</v>
      </c>
      <c r="E928" t="s">
        <v>490</v>
      </c>
      <c r="F928" t="s">
        <v>491</v>
      </c>
      <c r="G928">
        <v>500</v>
      </c>
    </row>
    <row r="929" spans="1:7" x14ac:dyDescent="0.35">
      <c r="A929">
        <v>2024</v>
      </c>
      <c r="B929">
        <v>11</v>
      </c>
      <c r="C929" t="s">
        <v>486</v>
      </c>
      <c r="D929" t="s">
        <v>75</v>
      </c>
      <c r="E929" t="s">
        <v>204</v>
      </c>
      <c r="F929" t="s">
        <v>383</v>
      </c>
      <c r="G929">
        <v>161889</v>
      </c>
    </row>
    <row r="930" spans="1:7" x14ac:dyDescent="0.35">
      <c r="A930">
        <v>2024</v>
      </c>
      <c r="B930">
        <v>11</v>
      </c>
      <c r="C930" t="s">
        <v>486</v>
      </c>
      <c r="D930" t="s">
        <v>23</v>
      </c>
      <c r="E930" t="s">
        <v>206</v>
      </c>
      <c r="F930" t="s">
        <v>385</v>
      </c>
      <c r="G930">
        <v>29598</v>
      </c>
    </row>
    <row r="931" spans="1:7" x14ac:dyDescent="0.35">
      <c r="A931">
        <v>2024</v>
      </c>
      <c r="B931">
        <v>11</v>
      </c>
      <c r="C931" t="s">
        <v>486</v>
      </c>
      <c r="D931" t="s">
        <v>24</v>
      </c>
      <c r="E931" t="s">
        <v>207</v>
      </c>
      <c r="F931" t="s">
        <v>386</v>
      </c>
      <c r="G931">
        <v>86630</v>
      </c>
    </row>
    <row r="932" spans="1:7" x14ac:dyDescent="0.35">
      <c r="A932">
        <v>2024</v>
      </c>
      <c r="B932">
        <v>11</v>
      </c>
      <c r="C932" t="s">
        <v>486</v>
      </c>
      <c r="D932" t="s">
        <v>114</v>
      </c>
      <c r="E932" t="s">
        <v>295</v>
      </c>
      <c r="F932" t="s">
        <v>479</v>
      </c>
      <c r="G932">
        <v>4209</v>
      </c>
    </row>
    <row r="933" spans="1:7" x14ac:dyDescent="0.35">
      <c r="A933">
        <v>2024</v>
      </c>
      <c r="B933">
        <v>11</v>
      </c>
      <c r="C933" t="s">
        <v>486</v>
      </c>
      <c r="D933" t="s">
        <v>519</v>
      </c>
      <c r="E933" t="s">
        <v>202</v>
      </c>
      <c r="F933" t="s">
        <v>380</v>
      </c>
      <c r="G933">
        <v>2600</v>
      </c>
    </row>
    <row r="934" spans="1:7" x14ac:dyDescent="0.35">
      <c r="A934">
        <v>2024</v>
      </c>
      <c r="B934">
        <v>11</v>
      </c>
      <c r="C934" t="s">
        <v>486</v>
      </c>
      <c r="D934" t="s">
        <v>519</v>
      </c>
      <c r="E934" t="s">
        <v>203</v>
      </c>
      <c r="F934" t="s">
        <v>381</v>
      </c>
      <c r="G934">
        <v>27899.14</v>
      </c>
    </row>
    <row r="935" spans="1:7" x14ac:dyDescent="0.35">
      <c r="A935">
        <v>2024</v>
      </c>
      <c r="B935">
        <v>11</v>
      </c>
      <c r="C935" t="s">
        <v>486</v>
      </c>
      <c r="D935" t="s">
        <v>519</v>
      </c>
      <c r="E935" t="s">
        <v>196</v>
      </c>
      <c r="F935" t="s">
        <v>382</v>
      </c>
      <c r="G935">
        <v>2.77</v>
      </c>
    </row>
    <row r="936" spans="1:7" x14ac:dyDescent="0.35">
      <c r="A936">
        <v>2024</v>
      </c>
      <c r="B936">
        <v>11</v>
      </c>
      <c r="C936" t="s">
        <v>486</v>
      </c>
      <c r="D936" t="s">
        <v>520</v>
      </c>
      <c r="E936" t="s">
        <v>208</v>
      </c>
      <c r="F936" t="s">
        <v>387</v>
      </c>
      <c r="G936">
        <v>15</v>
      </c>
    </row>
    <row r="937" spans="1:7" x14ac:dyDescent="0.35">
      <c r="A937">
        <v>2024</v>
      </c>
      <c r="B937">
        <v>11</v>
      </c>
      <c r="C937" t="s">
        <v>486</v>
      </c>
      <c r="D937" t="s">
        <v>520</v>
      </c>
      <c r="E937" t="s">
        <v>134</v>
      </c>
      <c r="F937" t="s">
        <v>315</v>
      </c>
      <c r="G937">
        <v>13958</v>
      </c>
    </row>
    <row r="938" spans="1:7" x14ac:dyDescent="0.35">
      <c r="A938">
        <v>2024</v>
      </c>
      <c r="B938">
        <v>11</v>
      </c>
      <c r="C938" t="s">
        <v>486</v>
      </c>
      <c r="D938" t="s">
        <v>520</v>
      </c>
      <c r="E938" t="s">
        <v>196</v>
      </c>
      <c r="F938" t="s">
        <v>374</v>
      </c>
      <c r="G938">
        <v>5</v>
      </c>
    </row>
    <row r="939" spans="1:7" x14ac:dyDescent="0.35">
      <c r="A939">
        <v>2024</v>
      </c>
      <c r="B939">
        <v>11</v>
      </c>
      <c r="C939" t="s">
        <v>486</v>
      </c>
      <c r="D939" t="s">
        <v>520</v>
      </c>
      <c r="E939" t="s">
        <v>197</v>
      </c>
      <c r="F939" t="s">
        <v>375</v>
      </c>
      <c r="G939">
        <v>17541</v>
      </c>
    </row>
    <row r="940" spans="1:7" x14ac:dyDescent="0.35">
      <c r="A940">
        <v>2024</v>
      </c>
      <c r="B940">
        <v>11</v>
      </c>
      <c r="C940" t="s">
        <v>486</v>
      </c>
      <c r="D940" t="s">
        <v>520</v>
      </c>
      <c r="E940" t="s">
        <v>301</v>
      </c>
      <c r="F940" t="s">
        <v>481</v>
      </c>
      <c r="G940">
        <v>2638</v>
      </c>
    </row>
    <row r="941" spans="1:7" x14ac:dyDescent="0.35">
      <c r="A941">
        <v>2024</v>
      </c>
      <c r="B941">
        <v>11</v>
      </c>
      <c r="C941" t="s">
        <v>486</v>
      </c>
      <c r="D941" t="s">
        <v>520</v>
      </c>
      <c r="E941" t="s">
        <v>198</v>
      </c>
      <c r="F941" t="s">
        <v>376</v>
      </c>
      <c r="G941">
        <v>1414</v>
      </c>
    </row>
    <row r="942" spans="1:7" x14ac:dyDescent="0.35">
      <c r="A942">
        <v>2024</v>
      </c>
      <c r="B942">
        <v>11</v>
      </c>
      <c r="C942" t="s">
        <v>486</v>
      </c>
      <c r="D942" t="s">
        <v>520</v>
      </c>
      <c r="E942" t="s">
        <v>200</v>
      </c>
      <c r="F942" t="s">
        <v>378</v>
      </c>
      <c r="G942">
        <v>2951</v>
      </c>
    </row>
    <row r="943" spans="1:7" x14ac:dyDescent="0.35">
      <c r="A943">
        <v>2024</v>
      </c>
      <c r="B943">
        <v>11</v>
      </c>
      <c r="C943" t="s">
        <v>486</v>
      </c>
      <c r="D943" t="s">
        <v>520</v>
      </c>
      <c r="E943" t="s">
        <v>201</v>
      </c>
      <c r="F943" t="s">
        <v>379</v>
      </c>
      <c r="G943">
        <v>35351</v>
      </c>
    </row>
    <row r="944" spans="1:7" x14ac:dyDescent="0.35">
      <c r="A944">
        <v>2024</v>
      </c>
      <c r="B944">
        <v>11</v>
      </c>
      <c r="C944" t="s">
        <v>486</v>
      </c>
      <c r="D944" t="s">
        <v>33</v>
      </c>
      <c r="E944" t="s">
        <v>492</v>
      </c>
      <c r="F944" t="s">
        <v>493</v>
      </c>
      <c r="G944">
        <v>2750</v>
      </c>
    </row>
    <row r="945" spans="1:7" x14ac:dyDescent="0.35">
      <c r="A945">
        <v>2024</v>
      </c>
      <c r="B945">
        <v>11</v>
      </c>
      <c r="C945" t="s">
        <v>486</v>
      </c>
      <c r="D945" t="s">
        <v>33</v>
      </c>
      <c r="E945" t="s">
        <v>209</v>
      </c>
      <c r="F945" t="s">
        <v>388</v>
      </c>
      <c r="G945">
        <v>39989</v>
      </c>
    </row>
    <row r="946" spans="1:7" x14ac:dyDescent="0.35">
      <c r="A946">
        <v>2024</v>
      </c>
      <c r="B946">
        <v>11</v>
      </c>
      <c r="C946" t="s">
        <v>486</v>
      </c>
      <c r="D946" t="s">
        <v>12</v>
      </c>
      <c r="E946" t="s">
        <v>210</v>
      </c>
      <c r="F946" t="s">
        <v>389</v>
      </c>
      <c r="G946">
        <v>3295</v>
      </c>
    </row>
    <row r="947" spans="1:7" x14ac:dyDescent="0.35">
      <c r="A947">
        <v>2024</v>
      </c>
      <c r="B947">
        <v>11</v>
      </c>
      <c r="C947" t="s">
        <v>486</v>
      </c>
      <c r="D947" t="s">
        <v>12</v>
      </c>
      <c r="E947" t="s">
        <v>211</v>
      </c>
      <c r="F947" t="s">
        <v>390</v>
      </c>
      <c r="G947">
        <v>1144</v>
      </c>
    </row>
    <row r="948" spans="1:7" x14ac:dyDescent="0.35">
      <c r="A948">
        <v>2024</v>
      </c>
      <c r="B948">
        <v>11</v>
      </c>
      <c r="C948" t="s">
        <v>486</v>
      </c>
      <c r="D948" t="s">
        <v>12</v>
      </c>
      <c r="E948" t="s">
        <v>212</v>
      </c>
      <c r="F948" t="s">
        <v>391</v>
      </c>
      <c r="G948">
        <v>6678</v>
      </c>
    </row>
    <row r="949" spans="1:7" x14ac:dyDescent="0.35">
      <c r="A949">
        <v>2024</v>
      </c>
      <c r="B949">
        <v>11</v>
      </c>
      <c r="C949" t="s">
        <v>486</v>
      </c>
      <c r="D949" t="s">
        <v>12</v>
      </c>
      <c r="E949" t="s">
        <v>213</v>
      </c>
      <c r="F949" t="s">
        <v>392</v>
      </c>
      <c r="G949">
        <v>8483</v>
      </c>
    </row>
    <row r="950" spans="1:7" x14ac:dyDescent="0.35">
      <c r="A950">
        <v>2024</v>
      </c>
      <c r="B950">
        <v>11</v>
      </c>
      <c r="C950" t="s">
        <v>486</v>
      </c>
      <c r="D950" t="s">
        <v>12</v>
      </c>
      <c r="E950" t="s">
        <v>214</v>
      </c>
      <c r="F950" t="s">
        <v>394</v>
      </c>
      <c r="G950">
        <v>4766</v>
      </c>
    </row>
    <row r="951" spans="1:7" x14ac:dyDescent="0.35">
      <c r="A951">
        <v>2024</v>
      </c>
      <c r="B951">
        <v>11</v>
      </c>
      <c r="C951" t="s">
        <v>486</v>
      </c>
      <c r="D951" t="s">
        <v>12</v>
      </c>
      <c r="E951" t="s">
        <v>215</v>
      </c>
      <c r="F951" t="s">
        <v>395</v>
      </c>
      <c r="G951">
        <v>1301</v>
      </c>
    </row>
    <row r="952" spans="1:7" x14ac:dyDescent="0.35">
      <c r="A952">
        <v>2024</v>
      </c>
      <c r="B952">
        <v>11</v>
      </c>
      <c r="C952" t="s">
        <v>486</v>
      </c>
      <c r="D952" t="s">
        <v>12</v>
      </c>
      <c r="E952" t="s">
        <v>216</v>
      </c>
      <c r="F952" t="s">
        <v>396</v>
      </c>
      <c r="G952">
        <v>8923</v>
      </c>
    </row>
    <row r="953" spans="1:7" x14ac:dyDescent="0.35">
      <c r="A953">
        <v>2024</v>
      </c>
      <c r="B953">
        <v>11</v>
      </c>
      <c r="C953" t="s">
        <v>486</v>
      </c>
      <c r="D953" t="s">
        <v>12</v>
      </c>
      <c r="E953" t="s">
        <v>217</v>
      </c>
      <c r="F953" t="s">
        <v>397</v>
      </c>
      <c r="G953">
        <v>1819</v>
      </c>
    </row>
    <row r="954" spans="1:7" x14ac:dyDescent="0.35">
      <c r="A954">
        <v>2024</v>
      </c>
      <c r="B954">
        <v>11</v>
      </c>
      <c r="C954" t="s">
        <v>486</v>
      </c>
      <c r="D954" t="s">
        <v>12</v>
      </c>
      <c r="E954" t="s">
        <v>218</v>
      </c>
      <c r="F954" t="s">
        <v>398</v>
      </c>
      <c r="G954">
        <v>8258</v>
      </c>
    </row>
    <row r="955" spans="1:7" x14ac:dyDescent="0.35">
      <c r="A955">
        <v>2024</v>
      </c>
      <c r="B955">
        <v>11</v>
      </c>
      <c r="C955" t="s">
        <v>486</v>
      </c>
      <c r="D955" t="s">
        <v>12</v>
      </c>
      <c r="E955" t="s">
        <v>219</v>
      </c>
      <c r="F955" t="s">
        <v>399</v>
      </c>
      <c r="G955">
        <v>4537</v>
      </c>
    </row>
    <row r="956" spans="1:7" x14ac:dyDescent="0.35">
      <c r="A956">
        <v>2024</v>
      </c>
      <c r="B956">
        <v>11</v>
      </c>
      <c r="C956" t="s">
        <v>486</v>
      </c>
      <c r="D956" t="s">
        <v>12</v>
      </c>
      <c r="E956" t="s">
        <v>220</v>
      </c>
      <c r="F956" t="s">
        <v>400</v>
      </c>
      <c r="G956">
        <v>5302</v>
      </c>
    </row>
    <row r="957" spans="1:7" x14ac:dyDescent="0.35">
      <c r="A957">
        <v>2024</v>
      </c>
      <c r="B957">
        <v>11</v>
      </c>
      <c r="C957" t="s">
        <v>486</v>
      </c>
      <c r="D957" t="s">
        <v>12</v>
      </c>
      <c r="E957" t="s">
        <v>221</v>
      </c>
      <c r="F957" t="s">
        <v>401</v>
      </c>
      <c r="G957">
        <v>2918</v>
      </c>
    </row>
    <row r="958" spans="1:7" x14ac:dyDescent="0.35">
      <c r="A958">
        <v>2024</v>
      </c>
      <c r="B958">
        <v>11</v>
      </c>
      <c r="C958" t="s">
        <v>486</v>
      </c>
      <c r="D958" t="s">
        <v>12</v>
      </c>
      <c r="E958" t="s">
        <v>222</v>
      </c>
      <c r="F958" t="s">
        <v>402</v>
      </c>
      <c r="G958">
        <v>4118</v>
      </c>
    </row>
    <row r="959" spans="1:7" x14ac:dyDescent="0.35">
      <c r="A959">
        <v>2024</v>
      </c>
      <c r="B959">
        <v>11</v>
      </c>
      <c r="C959" t="s">
        <v>486</v>
      </c>
      <c r="D959" t="s">
        <v>28</v>
      </c>
      <c r="E959" t="s">
        <v>223</v>
      </c>
      <c r="F959" t="s">
        <v>403</v>
      </c>
      <c r="G959">
        <v>43960</v>
      </c>
    </row>
    <row r="960" spans="1:7" x14ac:dyDescent="0.35">
      <c r="A960">
        <v>2024</v>
      </c>
      <c r="B960">
        <v>11</v>
      </c>
      <c r="C960" t="s">
        <v>486</v>
      </c>
      <c r="D960" t="s">
        <v>28</v>
      </c>
      <c r="E960" t="s">
        <v>224</v>
      </c>
      <c r="F960" t="s">
        <v>404</v>
      </c>
      <c r="G960">
        <v>8587</v>
      </c>
    </row>
    <row r="961" spans="1:7" x14ac:dyDescent="0.35">
      <c r="A961">
        <v>2024</v>
      </c>
      <c r="B961">
        <v>11</v>
      </c>
      <c r="C961" t="s">
        <v>486</v>
      </c>
      <c r="D961" t="s">
        <v>92</v>
      </c>
      <c r="E961" t="s">
        <v>494</v>
      </c>
      <c r="F961" t="s">
        <v>495</v>
      </c>
      <c r="G961">
        <v>19267.900000000001</v>
      </c>
    </row>
    <row r="962" spans="1:7" x14ac:dyDescent="0.35">
      <c r="A962">
        <v>2024</v>
      </c>
      <c r="B962">
        <v>11</v>
      </c>
      <c r="C962" t="s">
        <v>486</v>
      </c>
      <c r="D962" t="s">
        <v>64</v>
      </c>
      <c r="E962" t="s">
        <v>225</v>
      </c>
      <c r="F962" t="s">
        <v>405</v>
      </c>
      <c r="G962">
        <v>168439</v>
      </c>
    </row>
    <row r="963" spans="1:7" x14ac:dyDescent="0.35">
      <c r="A963">
        <v>2024</v>
      </c>
      <c r="B963">
        <v>11</v>
      </c>
      <c r="C963" t="s">
        <v>486</v>
      </c>
      <c r="D963" t="s">
        <v>29</v>
      </c>
      <c r="E963" t="s">
        <v>226</v>
      </c>
      <c r="F963" t="s">
        <v>406</v>
      </c>
      <c r="G963">
        <v>10807</v>
      </c>
    </row>
    <row r="964" spans="1:7" x14ac:dyDescent="0.35">
      <c r="A964">
        <v>2024</v>
      </c>
      <c r="B964">
        <v>11</v>
      </c>
      <c r="C964" t="s">
        <v>486</v>
      </c>
      <c r="D964" t="s">
        <v>102</v>
      </c>
      <c r="E964" t="s">
        <v>227</v>
      </c>
      <c r="F964" t="s">
        <v>407</v>
      </c>
      <c r="G964">
        <v>-145628</v>
      </c>
    </row>
    <row r="965" spans="1:7" x14ac:dyDescent="0.35">
      <c r="A965">
        <v>2024</v>
      </c>
      <c r="B965">
        <v>11</v>
      </c>
      <c r="C965" t="s">
        <v>486</v>
      </c>
      <c r="D965" t="s">
        <v>25</v>
      </c>
      <c r="E965" t="s">
        <v>228</v>
      </c>
      <c r="F965" t="s">
        <v>408</v>
      </c>
      <c r="G965">
        <v>6530</v>
      </c>
    </row>
    <row r="966" spans="1:7" x14ac:dyDescent="0.35">
      <c r="A966">
        <v>2024</v>
      </c>
      <c r="B966">
        <v>11</v>
      </c>
      <c r="C966" t="s">
        <v>486</v>
      </c>
      <c r="D966" t="s">
        <v>229</v>
      </c>
      <c r="E966" t="s">
        <v>230</v>
      </c>
      <c r="F966" t="s">
        <v>409</v>
      </c>
      <c r="G966">
        <v>-82513</v>
      </c>
    </row>
    <row r="967" spans="1:7" x14ac:dyDescent="0.35">
      <c r="A967">
        <v>2024</v>
      </c>
      <c r="B967">
        <v>11</v>
      </c>
      <c r="C967" t="s">
        <v>486</v>
      </c>
      <c r="D967" t="s">
        <v>13</v>
      </c>
      <c r="E967" t="s">
        <v>232</v>
      </c>
      <c r="F967" t="s">
        <v>411</v>
      </c>
      <c r="G967">
        <v>1364</v>
      </c>
    </row>
    <row r="968" spans="1:7" x14ac:dyDescent="0.35">
      <c r="A968">
        <v>2024</v>
      </c>
      <c r="B968">
        <v>11</v>
      </c>
      <c r="C968" t="s">
        <v>486</v>
      </c>
      <c r="D968" t="s">
        <v>94</v>
      </c>
      <c r="E968" t="s">
        <v>233</v>
      </c>
      <c r="F968" t="s">
        <v>412</v>
      </c>
      <c r="G968">
        <v>30300</v>
      </c>
    </row>
    <row r="969" spans="1:7" x14ac:dyDescent="0.35">
      <c r="A969">
        <v>2024</v>
      </c>
      <c r="B969">
        <v>11</v>
      </c>
      <c r="C969" t="s">
        <v>486</v>
      </c>
      <c r="D969" t="s">
        <v>36</v>
      </c>
      <c r="E969" t="s">
        <v>275</v>
      </c>
      <c r="F969" t="s">
        <v>455</v>
      </c>
      <c r="G969">
        <v>18400</v>
      </c>
    </row>
    <row r="970" spans="1:7" x14ac:dyDescent="0.35">
      <c r="A970">
        <v>2024</v>
      </c>
      <c r="B970">
        <v>11</v>
      </c>
      <c r="C970" t="s">
        <v>486</v>
      </c>
      <c r="D970" t="s">
        <v>40</v>
      </c>
      <c r="E970" t="s">
        <v>235</v>
      </c>
      <c r="F970" t="s">
        <v>414</v>
      </c>
      <c r="G970">
        <v>30976</v>
      </c>
    </row>
    <row r="971" spans="1:7" x14ac:dyDescent="0.35">
      <c r="A971">
        <v>2024</v>
      </c>
      <c r="B971">
        <v>11</v>
      </c>
      <c r="C971" t="s">
        <v>486</v>
      </c>
      <c r="D971" t="s">
        <v>45</v>
      </c>
      <c r="E971" t="s">
        <v>276</v>
      </c>
      <c r="F971" t="s">
        <v>456</v>
      </c>
      <c r="G971">
        <v>64870</v>
      </c>
    </row>
    <row r="972" spans="1:7" x14ac:dyDescent="0.35">
      <c r="A972">
        <v>2024</v>
      </c>
      <c r="B972">
        <v>11</v>
      </c>
      <c r="C972" t="s">
        <v>486</v>
      </c>
      <c r="D972" t="s">
        <v>76</v>
      </c>
      <c r="E972" t="s">
        <v>236</v>
      </c>
      <c r="F972" t="s">
        <v>415</v>
      </c>
      <c r="G972">
        <v>-754454</v>
      </c>
    </row>
    <row r="973" spans="1:7" x14ac:dyDescent="0.35">
      <c r="A973">
        <v>2024</v>
      </c>
      <c r="B973">
        <v>11</v>
      </c>
      <c r="C973" t="s">
        <v>486</v>
      </c>
      <c r="D973" t="s">
        <v>76</v>
      </c>
      <c r="E973" t="s">
        <v>237</v>
      </c>
      <c r="F973" t="s">
        <v>416</v>
      </c>
      <c r="G973">
        <v>-145628.28</v>
      </c>
    </row>
    <row r="974" spans="1:7" x14ac:dyDescent="0.35">
      <c r="A974">
        <v>2024</v>
      </c>
      <c r="B974">
        <v>11</v>
      </c>
      <c r="C974" t="s">
        <v>486</v>
      </c>
      <c r="D974" t="s">
        <v>76</v>
      </c>
      <c r="E974" t="s">
        <v>238</v>
      </c>
      <c r="F974" t="s">
        <v>417</v>
      </c>
      <c r="G974">
        <v>76333.899999999994</v>
      </c>
    </row>
    <row r="975" spans="1:7" x14ac:dyDescent="0.35">
      <c r="A975">
        <v>2024</v>
      </c>
      <c r="B975">
        <v>11</v>
      </c>
      <c r="C975" t="s">
        <v>486</v>
      </c>
      <c r="D975" t="s">
        <v>76</v>
      </c>
      <c r="E975" t="s">
        <v>239</v>
      </c>
      <c r="F975" t="s">
        <v>418</v>
      </c>
      <c r="G975">
        <v>-477670.39</v>
      </c>
    </row>
    <row r="976" spans="1:7" x14ac:dyDescent="0.35">
      <c r="A976">
        <v>2024</v>
      </c>
      <c r="B976">
        <v>11</v>
      </c>
      <c r="C976" t="s">
        <v>486</v>
      </c>
      <c r="D976" t="s">
        <v>35</v>
      </c>
      <c r="E976" t="s">
        <v>240</v>
      </c>
      <c r="F976" t="s">
        <v>419</v>
      </c>
      <c r="G976">
        <v>72215</v>
      </c>
    </row>
    <row r="977" spans="1:7" x14ac:dyDescent="0.35">
      <c r="A977">
        <v>2024</v>
      </c>
      <c r="B977">
        <v>11</v>
      </c>
      <c r="C977" t="s">
        <v>486</v>
      </c>
      <c r="D977" t="s">
        <v>103</v>
      </c>
      <c r="E977" t="s">
        <v>242</v>
      </c>
      <c r="F977" t="s">
        <v>421</v>
      </c>
      <c r="G977">
        <v>76334</v>
      </c>
    </row>
    <row r="978" spans="1:7" x14ac:dyDescent="0.35">
      <c r="A978">
        <v>2024</v>
      </c>
      <c r="B978">
        <v>11</v>
      </c>
      <c r="C978" t="s">
        <v>486</v>
      </c>
      <c r="D978" t="s">
        <v>104</v>
      </c>
      <c r="E978" t="s">
        <v>243</v>
      </c>
      <c r="F978" t="s">
        <v>422</v>
      </c>
      <c r="G978">
        <v>-477670</v>
      </c>
    </row>
    <row r="979" spans="1:7" x14ac:dyDescent="0.35">
      <c r="A979">
        <v>2024</v>
      </c>
      <c r="B979">
        <v>11</v>
      </c>
      <c r="C979" t="s">
        <v>486</v>
      </c>
      <c r="D979" t="s">
        <v>244</v>
      </c>
      <c r="E979" t="s">
        <v>245</v>
      </c>
      <c r="F979" t="s">
        <v>423</v>
      </c>
      <c r="G979">
        <v>-311464</v>
      </c>
    </row>
    <row r="980" spans="1:7" x14ac:dyDescent="0.35">
      <c r="A980">
        <v>2024</v>
      </c>
      <c r="B980">
        <v>11</v>
      </c>
      <c r="C980" t="s">
        <v>486</v>
      </c>
      <c r="D980" t="s">
        <v>14</v>
      </c>
      <c r="E980" t="s">
        <v>131</v>
      </c>
      <c r="F980" t="s">
        <v>425</v>
      </c>
      <c r="G980">
        <v>469478</v>
      </c>
    </row>
    <row r="981" spans="1:7" x14ac:dyDescent="0.35">
      <c r="A981">
        <v>2024</v>
      </c>
      <c r="B981">
        <v>11</v>
      </c>
      <c r="C981" t="s">
        <v>486</v>
      </c>
      <c r="D981" t="s">
        <v>30</v>
      </c>
      <c r="E981" t="s">
        <v>247</v>
      </c>
      <c r="F981" t="s">
        <v>426</v>
      </c>
      <c r="G981">
        <v>13838</v>
      </c>
    </row>
    <row r="982" spans="1:7" x14ac:dyDescent="0.35">
      <c r="A982">
        <v>2024</v>
      </c>
      <c r="B982">
        <v>11</v>
      </c>
      <c r="C982" t="s">
        <v>486</v>
      </c>
      <c r="D982" t="s">
        <v>15</v>
      </c>
      <c r="E982" t="s">
        <v>248</v>
      </c>
      <c r="F982" t="s">
        <v>427</v>
      </c>
      <c r="G982">
        <v>30834</v>
      </c>
    </row>
    <row r="983" spans="1:7" x14ac:dyDescent="0.35">
      <c r="A983">
        <v>2024</v>
      </c>
      <c r="B983">
        <v>11</v>
      </c>
      <c r="C983" t="s">
        <v>486</v>
      </c>
      <c r="D983" t="s">
        <v>90</v>
      </c>
      <c r="E983" t="s">
        <v>249</v>
      </c>
      <c r="F983" t="s">
        <v>428</v>
      </c>
      <c r="G983">
        <v>24793.39</v>
      </c>
    </row>
    <row r="984" spans="1:7" x14ac:dyDescent="0.35">
      <c r="A984">
        <v>2024</v>
      </c>
      <c r="B984">
        <v>11</v>
      </c>
      <c r="C984" t="s">
        <v>486</v>
      </c>
      <c r="D984" t="s">
        <v>84</v>
      </c>
      <c r="E984" t="s">
        <v>250</v>
      </c>
      <c r="F984" t="s">
        <v>429</v>
      </c>
      <c r="G984">
        <v>1282976.49</v>
      </c>
    </row>
    <row r="985" spans="1:7" x14ac:dyDescent="0.35">
      <c r="A985">
        <v>2024</v>
      </c>
      <c r="B985">
        <v>11</v>
      </c>
      <c r="C985" t="s">
        <v>486</v>
      </c>
      <c r="D985" t="s">
        <v>81</v>
      </c>
      <c r="E985" t="s">
        <v>252</v>
      </c>
      <c r="F985" t="s">
        <v>431</v>
      </c>
      <c r="G985">
        <v>6947917.8799999999</v>
      </c>
    </row>
    <row r="986" spans="1:7" x14ac:dyDescent="0.35">
      <c r="A986">
        <v>2024</v>
      </c>
      <c r="B986">
        <v>11</v>
      </c>
      <c r="C986" t="s">
        <v>486</v>
      </c>
      <c r="D986" t="s">
        <v>81</v>
      </c>
      <c r="E986" t="s">
        <v>289</v>
      </c>
      <c r="F986" t="s">
        <v>471</v>
      </c>
      <c r="G986">
        <v>1351600</v>
      </c>
    </row>
    <row r="987" spans="1:7" x14ac:dyDescent="0.35">
      <c r="A987">
        <v>2024</v>
      </c>
      <c r="B987">
        <v>11</v>
      </c>
      <c r="C987" t="s">
        <v>486</v>
      </c>
      <c r="D987" t="s">
        <v>44</v>
      </c>
      <c r="E987" t="s">
        <v>253</v>
      </c>
      <c r="F987" t="s">
        <v>432</v>
      </c>
      <c r="G987">
        <v>81850</v>
      </c>
    </row>
    <row r="988" spans="1:7" x14ac:dyDescent="0.35">
      <c r="A988">
        <v>2024</v>
      </c>
      <c r="B988">
        <v>11</v>
      </c>
      <c r="C988" t="s">
        <v>486</v>
      </c>
      <c r="D988" t="s">
        <v>16</v>
      </c>
      <c r="E988" t="s">
        <v>254</v>
      </c>
      <c r="F988" t="s">
        <v>433</v>
      </c>
      <c r="G988">
        <v>27548</v>
      </c>
    </row>
    <row r="989" spans="1:7" x14ac:dyDescent="0.35">
      <c r="A989">
        <v>2024</v>
      </c>
      <c r="B989">
        <v>11</v>
      </c>
      <c r="C989" t="s">
        <v>486</v>
      </c>
      <c r="D989" t="s">
        <v>34</v>
      </c>
      <c r="E989" t="s">
        <v>278</v>
      </c>
      <c r="F989" t="s">
        <v>458</v>
      </c>
      <c r="G989">
        <v>413037</v>
      </c>
    </row>
    <row r="990" spans="1:7" x14ac:dyDescent="0.35">
      <c r="A990">
        <v>2024</v>
      </c>
      <c r="B990">
        <v>11</v>
      </c>
      <c r="C990" t="s">
        <v>486</v>
      </c>
      <c r="D990" t="s">
        <v>17</v>
      </c>
      <c r="E990" t="s">
        <v>255</v>
      </c>
      <c r="F990" t="s">
        <v>434</v>
      </c>
      <c r="G990">
        <v>14990</v>
      </c>
    </row>
    <row r="991" spans="1:7" x14ac:dyDescent="0.35">
      <c r="A991">
        <v>2024</v>
      </c>
      <c r="B991">
        <v>11</v>
      </c>
      <c r="C991" t="s">
        <v>486</v>
      </c>
      <c r="D991" t="s">
        <v>37</v>
      </c>
      <c r="E991" t="s">
        <v>256</v>
      </c>
      <c r="F991" t="s">
        <v>435</v>
      </c>
      <c r="G991">
        <v>-41378.400000000001</v>
      </c>
    </row>
    <row r="992" spans="1:7" x14ac:dyDescent="0.35">
      <c r="A992">
        <v>2024</v>
      </c>
      <c r="B992">
        <v>11</v>
      </c>
      <c r="C992" t="s">
        <v>486</v>
      </c>
      <c r="D992" t="s">
        <v>37</v>
      </c>
      <c r="E992" t="s">
        <v>257</v>
      </c>
      <c r="F992" t="s">
        <v>436</v>
      </c>
      <c r="G992">
        <v>-2965274.32</v>
      </c>
    </row>
    <row r="993" spans="1:7" x14ac:dyDescent="0.35">
      <c r="A993">
        <v>2024</v>
      </c>
      <c r="B993">
        <v>11</v>
      </c>
      <c r="C993" t="s">
        <v>486</v>
      </c>
      <c r="D993" t="s">
        <v>18</v>
      </c>
      <c r="E993" t="s">
        <v>259</v>
      </c>
      <c r="F993" t="s">
        <v>438</v>
      </c>
      <c r="G993">
        <v>17591</v>
      </c>
    </row>
    <row r="994" spans="1:7" x14ac:dyDescent="0.35">
      <c r="A994">
        <v>2024</v>
      </c>
      <c r="B994">
        <v>11</v>
      </c>
      <c r="C994" t="s">
        <v>486</v>
      </c>
      <c r="D994" t="s">
        <v>279</v>
      </c>
      <c r="E994" t="s">
        <v>280</v>
      </c>
      <c r="F994" t="s">
        <v>459</v>
      </c>
      <c r="G994">
        <v>33816</v>
      </c>
    </row>
    <row r="995" spans="1:7" x14ac:dyDescent="0.35">
      <c r="A995">
        <v>2024</v>
      </c>
      <c r="B995">
        <v>12</v>
      </c>
      <c r="C995" t="s">
        <v>496</v>
      </c>
      <c r="E995" t="s">
        <v>291</v>
      </c>
      <c r="F995" t="s">
        <v>474</v>
      </c>
      <c r="G995">
        <v>3370</v>
      </c>
    </row>
    <row r="996" spans="1:7" x14ac:dyDescent="0.35">
      <c r="A996">
        <v>2024</v>
      </c>
      <c r="B996">
        <v>12</v>
      </c>
      <c r="C996" t="s">
        <v>496</v>
      </c>
      <c r="E996" t="s">
        <v>293</v>
      </c>
      <c r="F996" t="s">
        <v>477</v>
      </c>
      <c r="G996">
        <v>13773</v>
      </c>
    </row>
    <row r="997" spans="1:7" x14ac:dyDescent="0.35">
      <c r="A997">
        <v>2024</v>
      </c>
      <c r="B997">
        <v>12</v>
      </c>
      <c r="C997" t="s">
        <v>496</v>
      </c>
      <c r="D997" t="s">
        <v>38</v>
      </c>
      <c r="E997" t="s">
        <v>122</v>
      </c>
      <c r="F997" t="s">
        <v>314</v>
      </c>
      <c r="G997">
        <v>6985</v>
      </c>
    </row>
    <row r="998" spans="1:7" x14ac:dyDescent="0.35">
      <c r="A998">
        <v>2024</v>
      </c>
      <c r="B998">
        <v>12</v>
      </c>
      <c r="C998" t="s">
        <v>496</v>
      </c>
      <c r="D998" t="s">
        <v>6</v>
      </c>
      <c r="E998" t="s">
        <v>135</v>
      </c>
      <c r="F998" t="s">
        <v>316</v>
      </c>
      <c r="G998">
        <v>46771</v>
      </c>
    </row>
    <row r="999" spans="1:7" x14ac:dyDescent="0.35">
      <c r="A999">
        <v>2024</v>
      </c>
      <c r="B999">
        <v>12</v>
      </c>
      <c r="C999" t="s">
        <v>496</v>
      </c>
      <c r="D999" t="s">
        <v>6</v>
      </c>
      <c r="E999" t="s">
        <v>136</v>
      </c>
      <c r="F999" t="s">
        <v>317</v>
      </c>
      <c r="G999">
        <v>35190</v>
      </c>
    </row>
    <row r="1000" spans="1:7" x14ac:dyDescent="0.35">
      <c r="A1000">
        <v>2024</v>
      </c>
      <c r="B1000">
        <v>12</v>
      </c>
      <c r="C1000" t="s">
        <v>496</v>
      </c>
      <c r="D1000" t="s">
        <v>6</v>
      </c>
      <c r="E1000" t="s">
        <v>137</v>
      </c>
      <c r="F1000" t="s">
        <v>318</v>
      </c>
      <c r="G1000">
        <v>22700</v>
      </c>
    </row>
    <row r="1001" spans="1:7" x14ac:dyDescent="0.35">
      <c r="A1001">
        <v>2024</v>
      </c>
      <c r="B1001">
        <v>12</v>
      </c>
      <c r="C1001" t="s">
        <v>496</v>
      </c>
      <c r="D1001" t="s">
        <v>62</v>
      </c>
      <c r="E1001" t="s">
        <v>288</v>
      </c>
      <c r="F1001" t="s">
        <v>470</v>
      </c>
      <c r="G1001">
        <v>100</v>
      </c>
    </row>
    <row r="1002" spans="1:7" x14ac:dyDescent="0.35">
      <c r="A1002">
        <v>2024</v>
      </c>
      <c r="B1002">
        <v>12</v>
      </c>
      <c r="C1002" t="s">
        <v>496</v>
      </c>
      <c r="D1002" t="s">
        <v>62</v>
      </c>
      <c r="E1002" t="s">
        <v>139</v>
      </c>
      <c r="F1002" t="s">
        <v>320</v>
      </c>
      <c r="G1002">
        <v>56</v>
      </c>
    </row>
    <row r="1003" spans="1:7" x14ac:dyDescent="0.35">
      <c r="A1003">
        <v>2024</v>
      </c>
      <c r="B1003">
        <v>12</v>
      </c>
      <c r="C1003" t="s">
        <v>496</v>
      </c>
      <c r="D1003" t="s">
        <v>19</v>
      </c>
      <c r="E1003" t="s">
        <v>142</v>
      </c>
      <c r="F1003" t="s">
        <v>323</v>
      </c>
      <c r="G1003">
        <v>387</v>
      </c>
    </row>
    <row r="1004" spans="1:7" x14ac:dyDescent="0.35">
      <c r="A1004">
        <v>2024</v>
      </c>
      <c r="B1004">
        <v>12</v>
      </c>
      <c r="C1004" t="s">
        <v>496</v>
      </c>
      <c r="D1004" t="s">
        <v>31</v>
      </c>
      <c r="E1004" t="s">
        <v>143</v>
      </c>
      <c r="F1004" t="s">
        <v>324</v>
      </c>
      <c r="G1004">
        <v>202043</v>
      </c>
    </row>
    <row r="1005" spans="1:7" x14ac:dyDescent="0.35">
      <c r="A1005">
        <v>2024</v>
      </c>
      <c r="B1005">
        <v>12</v>
      </c>
      <c r="C1005" t="s">
        <v>496</v>
      </c>
      <c r="D1005" t="s">
        <v>91</v>
      </c>
      <c r="E1005" t="s">
        <v>525</v>
      </c>
      <c r="F1005" t="s">
        <v>526</v>
      </c>
      <c r="G1005">
        <v>126000</v>
      </c>
    </row>
    <row r="1006" spans="1:7" x14ac:dyDescent="0.35">
      <c r="A1006">
        <v>2024</v>
      </c>
      <c r="B1006">
        <v>12</v>
      </c>
      <c r="C1006" t="s">
        <v>496</v>
      </c>
      <c r="D1006" t="s">
        <v>91</v>
      </c>
      <c r="E1006" t="s">
        <v>497</v>
      </c>
      <c r="F1006" t="s">
        <v>498</v>
      </c>
      <c r="G1006">
        <v>30543.11</v>
      </c>
    </row>
    <row r="1007" spans="1:7" x14ac:dyDescent="0.35">
      <c r="A1007">
        <v>2024</v>
      </c>
      <c r="B1007">
        <v>12</v>
      </c>
      <c r="C1007" t="s">
        <v>496</v>
      </c>
      <c r="D1007" t="s">
        <v>26</v>
      </c>
      <c r="E1007" t="s">
        <v>144</v>
      </c>
      <c r="F1007" t="s">
        <v>325</v>
      </c>
      <c r="G1007">
        <v>5196</v>
      </c>
    </row>
    <row r="1008" spans="1:7" x14ac:dyDescent="0.35">
      <c r="A1008">
        <v>2024</v>
      </c>
      <c r="B1008">
        <v>12</v>
      </c>
      <c r="C1008" t="s">
        <v>496</v>
      </c>
      <c r="D1008" t="s">
        <v>41</v>
      </c>
      <c r="E1008" t="s">
        <v>145</v>
      </c>
      <c r="F1008" t="s">
        <v>326</v>
      </c>
      <c r="G1008">
        <v>25020</v>
      </c>
    </row>
    <row r="1009" spans="1:7" x14ac:dyDescent="0.35">
      <c r="A1009">
        <v>2024</v>
      </c>
      <c r="B1009">
        <v>12</v>
      </c>
      <c r="C1009" t="s">
        <v>496</v>
      </c>
      <c r="D1009" t="s">
        <v>7</v>
      </c>
      <c r="E1009" t="s">
        <v>147</v>
      </c>
      <c r="F1009" t="s">
        <v>328</v>
      </c>
      <c r="G1009">
        <v>76710</v>
      </c>
    </row>
    <row r="1010" spans="1:7" x14ac:dyDescent="0.35">
      <c r="A1010">
        <v>2024</v>
      </c>
      <c r="B1010">
        <v>12</v>
      </c>
      <c r="C1010" t="s">
        <v>496</v>
      </c>
      <c r="D1010" t="s">
        <v>67</v>
      </c>
      <c r="E1010" t="s">
        <v>148</v>
      </c>
      <c r="F1010" t="s">
        <v>329</v>
      </c>
      <c r="G1010">
        <v>2905</v>
      </c>
    </row>
    <row r="1011" spans="1:7" x14ac:dyDescent="0.35">
      <c r="A1011">
        <v>2024</v>
      </c>
      <c r="B1011">
        <v>12</v>
      </c>
      <c r="C1011" t="s">
        <v>496</v>
      </c>
      <c r="D1011" t="s">
        <v>67</v>
      </c>
      <c r="E1011" t="s">
        <v>149</v>
      </c>
      <c r="F1011" t="s">
        <v>330</v>
      </c>
      <c r="G1011">
        <v>6195</v>
      </c>
    </row>
    <row r="1012" spans="1:7" x14ac:dyDescent="0.35">
      <c r="A1012">
        <v>2024</v>
      </c>
      <c r="B1012">
        <v>12</v>
      </c>
      <c r="C1012" t="s">
        <v>496</v>
      </c>
      <c r="D1012" t="s">
        <v>67</v>
      </c>
      <c r="E1012" t="s">
        <v>150</v>
      </c>
      <c r="F1012" t="s">
        <v>331</v>
      </c>
      <c r="G1012">
        <v>22167</v>
      </c>
    </row>
    <row r="1013" spans="1:7" x14ac:dyDescent="0.35">
      <c r="A1013">
        <v>2024</v>
      </c>
      <c r="B1013">
        <v>12</v>
      </c>
      <c r="C1013" t="s">
        <v>496</v>
      </c>
      <c r="D1013" t="s">
        <v>67</v>
      </c>
      <c r="E1013" t="s">
        <v>151</v>
      </c>
      <c r="F1013" t="s">
        <v>332</v>
      </c>
      <c r="G1013">
        <v>264</v>
      </c>
    </row>
    <row r="1014" spans="1:7" x14ac:dyDescent="0.35">
      <c r="A1014">
        <v>2024</v>
      </c>
      <c r="B1014">
        <v>12</v>
      </c>
      <c r="C1014" t="s">
        <v>496</v>
      </c>
      <c r="D1014" t="s">
        <v>67</v>
      </c>
      <c r="E1014" t="s">
        <v>152</v>
      </c>
      <c r="F1014" t="s">
        <v>333</v>
      </c>
      <c r="G1014">
        <v>32870</v>
      </c>
    </row>
    <row r="1015" spans="1:7" x14ac:dyDescent="0.35">
      <c r="A1015">
        <v>2024</v>
      </c>
      <c r="B1015">
        <v>12</v>
      </c>
      <c r="C1015" t="s">
        <v>496</v>
      </c>
      <c r="D1015" t="s">
        <v>93</v>
      </c>
      <c r="E1015" t="s">
        <v>153</v>
      </c>
      <c r="F1015" t="s">
        <v>334</v>
      </c>
      <c r="G1015">
        <v>62446.42</v>
      </c>
    </row>
    <row r="1016" spans="1:7" x14ac:dyDescent="0.35">
      <c r="A1016">
        <v>2024</v>
      </c>
      <c r="B1016">
        <v>12</v>
      </c>
      <c r="C1016" t="s">
        <v>496</v>
      </c>
      <c r="D1016" t="s">
        <v>93</v>
      </c>
      <c r="E1016" t="s">
        <v>154</v>
      </c>
      <c r="F1016" t="s">
        <v>335</v>
      </c>
      <c r="G1016">
        <v>10702.13</v>
      </c>
    </row>
    <row r="1017" spans="1:7" x14ac:dyDescent="0.35">
      <c r="A1017">
        <v>2024</v>
      </c>
      <c r="B1017">
        <v>12</v>
      </c>
      <c r="C1017" t="s">
        <v>496</v>
      </c>
      <c r="D1017" t="s">
        <v>93</v>
      </c>
      <c r="E1017" t="s">
        <v>281</v>
      </c>
      <c r="F1017" t="s">
        <v>461</v>
      </c>
      <c r="G1017">
        <v>10443.6</v>
      </c>
    </row>
    <row r="1018" spans="1:7" x14ac:dyDescent="0.35">
      <c r="A1018">
        <v>2024</v>
      </c>
      <c r="B1018">
        <v>12</v>
      </c>
      <c r="C1018" t="s">
        <v>496</v>
      </c>
      <c r="D1018" t="s">
        <v>89</v>
      </c>
      <c r="E1018" t="s">
        <v>155</v>
      </c>
      <c r="F1018" t="s">
        <v>336</v>
      </c>
      <c r="G1018">
        <v>-17115.78</v>
      </c>
    </row>
    <row r="1019" spans="1:7" x14ac:dyDescent="0.35">
      <c r="A1019">
        <v>2024</v>
      </c>
      <c r="B1019">
        <v>12</v>
      </c>
      <c r="C1019" t="s">
        <v>496</v>
      </c>
      <c r="D1019" t="s">
        <v>89</v>
      </c>
      <c r="E1019" t="s">
        <v>156</v>
      </c>
      <c r="F1019" t="s">
        <v>337</v>
      </c>
      <c r="G1019">
        <v>91539.82</v>
      </c>
    </row>
    <row r="1020" spans="1:7" x14ac:dyDescent="0.35">
      <c r="A1020">
        <v>2024</v>
      </c>
      <c r="B1020">
        <v>12</v>
      </c>
      <c r="C1020" t="s">
        <v>496</v>
      </c>
      <c r="D1020" t="s">
        <v>61</v>
      </c>
      <c r="E1020" t="s">
        <v>262</v>
      </c>
      <c r="F1020" t="s">
        <v>442</v>
      </c>
      <c r="G1020">
        <v>7927</v>
      </c>
    </row>
    <row r="1021" spans="1:7" x14ac:dyDescent="0.35">
      <c r="A1021">
        <v>2024</v>
      </c>
      <c r="B1021">
        <v>12</v>
      </c>
      <c r="C1021" t="s">
        <v>496</v>
      </c>
      <c r="D1021" t="s">
        <v>8</v>
      </c>
      <c r="E1021" t="s">
        <v>157</v>
      </c>
      <c r="F1021" t="s">
        <v>338</v>
      </c>
      <c r="G1021">
        <v>6868</v>
      </c>
    </row>
    <row r="1022" spans="1:7" x14ac:dyDescent="0.35">
      <c r="A1022">
        <v>2024</v>
      </c>
      <c r="B1022">
        <v>12</v>
      </c>
      <c r="C1022" t="s">
        <v>496</v>
      </c>
      <c r="D1022" t="s">
        <v>20</v>
      </c>
      <c r="E1022" t="s">
        <v>158</v>
      </c>
      <c r="F1022" t="s">
        <v>339</v>
      </c>
      <c r="G1022">
        <v>796787</v>
      </c>
    </row>
    <row r="1023" spans="1:7" x14ac:dyDescent="0.35">
      <c r="A1023">
        <v>2024</v>
      </c>
      <c r="B1023">
        <v>12</v>
      </c>
      <c r="C1023" t="s">
        <v>496</v>
      </c>
      <c r="D1023" t="s">
        <v>21</v>
      </c>
      <c r="E1023" t="s">
        <v>159</v>
      </c>
      <c r="F1023" t="s">
        <v>340</v>
      </c>
      <c r="G1023">
        <v>143915</v>
      </c>
    </row>
    <row r="1024" spans="1:7" x14ac:dyDescent="0.35">
      <c r="A1024">
        <v>2024</v>
      </c>
      <c r="B1024">
        <v>12</v>
      </c>
      <c r="C1024" t="s">
        <v>496</v>
      </c>
      <c r="D1024" t="s">
        <v>160</v>
      </c>
      <c r="E1024" t="s">
        <v>161</v>
      </c>
      <c r="F1024" t="s">
        <v>341</v>
      </c>
      <c r="G1024">
        <v>422990</v>
      </c>
    </row>
    <row r="1025" spans="1:7" x14ac:dyDescent="0.35">
      <c r="A1025">
        <v>2024</v>
      </c>
      <c r="B1025">
        <v>12</v>
      </c>
      <c r="C1025" t="s">
        <v>496</v>
      </c>
      <c r="D1025" t="s">
        <v>32</v>
      </c>
      <c r="E1025" t="s">
        <v>162</v>
      </c>
      <c r="F1025" t="s">
        <v>342</v>
      </c>
      <c r="G1025">
        <v>4205</v>
      </c>
    </row>
    <row r="1026" spans="1:7" x14ac:dyDescent="0.35">
      <c r="A1026">
        <v>2024</v>
      </c>
      <c r="B1026">
        <v>12</v>
      </c>
      <c r="C1026" t="s">
        <v>496</v>
      </c>
      <c r="D1026" t="s">
        <v>22</v>
      </c>
      <c r="E1026" t="s">
        <v>165</v>
      </c>
      <c r="F1026" t="s">
        <v>344</v>
      </c>
      <c r="G1026">
        <v>13112</v>
      </c>
    </row>
    <row r="1027" spans="1:7" x14ac:dyDescent="0.35">
      <c r="A1027">
        <v>2024</v>
      </c>
      <c r="B1027">
        <v>12</v>
      </c>
      <c r="C1027" t="s">
        <v>496</v>
      </c>
      <c r="D1027" t="s">
        <v>27</v>
      </c>
      <c r="E1027" t="s">
        <v>166</v>
      </c>
      <c r="F1027" t="s">
        <v>345</v>
      </c>
      <c r="G1027">
        <v>28000</v>
      </c>
    </row>
    <row r="1028" spans="1:7" x14ac:dyDescent="0.35">
      <c r="A1028">
        <v>2024</v>
      </c>
      <c r="B1028">
        <v>12</v>
      </c>
      <c r="C1028" t="s">
        <v>496</v>
      </c>
      <c r="D1028" t="s">
        <v>167</v>
      </c>
      <c r="E1028" t="s">
        <v>167</v>
      </c>
      <c r="F1028" t="s">
        <v>346</v>
      </c>
      <c r="G1028">
        <v>1969862</v>
      </c>
    </row>
    <row r="1029" spans="1:7" x14ac:dyDescent="0.35">
      <c r="A1029">
        <v>2024</v>
      </c>
      <c r="B1029">
        <v>12</v>
      </c>
      <c r="C1029" t="s">
        <v>496</v>
      </c>
      <c r="D1029" t="s">
        <v>9</v>
      </c>
      <c r="E1029" t="s">
        <v>168</v>
      </c>
      <c r="F1029" t="s">
        <v>347</v>
      </c>
      <c r="G1029">
        <v>3270</v>
      </c>
    </row>
    <row r="1030" spans="1:7" x14ac:dyDescent="0.35">
      <c r="A1030">
        <v>2024</v>
      </c>
      <c r="B1030">
        <v>12</v>
      </c>
      <c r="C1030" t="s">
        <v>496</v>
      </c>
      <c r="D1030" t="s">
        <v>9</v>
      </c>
      <c r="E1030" t="s">
        <v>169</v>
      </c>
      <c r="F1030" t="s">
        <v>348</v>
      </c>
      <c r="G1030">
        <v>3380</v>
      </c>
    </row>
    <row r="1031" spans="1:7" x14ac:dyDescent="0.35">
      <c r="A1031">
        <v>2024</v>
      </c>
      <c r="B1031">
        <v>12</v>
      </c>
      <c r="C1031" t="s">
        <v>496</v>
      </c>
      <c r="D1031" t="s">
        <v>72</v>
      </c>
      <c r="E1031" t="s">
        <v>170</v>
      </c>
      <c r="F1031" t="s">
        <v>349</v>
      </c>
      <c r="G1031">
        <v>38790</v>
      </c>
    </row>
    <row r="1032" spans="1:7" x14ac:dyDescent="0.35">
      <c r="A1032">
        <v>2024</v>
      </c>
      <c r="B1032">
        <v>12</v>
      </c>
      <c r="C1032" t="s">
        <v>496</v>
      </c>
      <c r="D1032" t="s">
        <v>39</v>
      </c>
      <c r="E1032" t="s">
        <v>171</v>
      </c>
      <c r="F1032" t="s">
        <v>350</v>
      </c>
      <c r="G1032">
        <v>715</v>
      </c>
    </row>
    <row r="1033" spans="1:7" x14ac:dyDescent="0.35">
      <c r="A1033">
        <v>2024</v>
      </c>
      <c r="B1033">
        <v>12</v>
      </c>
      <c r="C1033" t="s">
        <v>496</v>
      </c>
      <c r="D1033" t="s">
        <v>10</v>
      </c>
      <c r="E1033" t="s">
        <v>172</v>
      </c>
      <c r="F1033" t="s">
        <v>351</v>
      </c>
      <c r="G1033">
        <v>87917</v>
      </c>
    </row>
    <row r="1034" spans="1:7" x14ac:dyDescent="0.35">
      <c r="A1034">
        <v>2024</v>
      </c>
      <c r="B1034">
        <v>12</v>
      </c>
      <c r="C1034" t="s">
        <v>496</v>
      </c>
      <c r="D1034" t="s">
        <v>10</v>
      </c>
      <c r="E1034" t="s">
        <v>499</v>
      </c>
      <c r="F1034" t="s">
        <v>500</v>
      </c>
      <c r="G1034">
        <v>20500</v>
      </c>
    </row>
    <row r="1035" spans="1:7" x14ac:dyDescent="0.35">
      <c r="A1035">
        <v>2024</v>
      </c>
      <c r="B1035">
        <v>12</v>
      </c>
      <c r="C1035" t="s">
        <v>496</v>
      </c>
      <c r="D1035" t="s">
        <v>66</v>
      </c>
      <c r="E1035" t="s">
        <v>173</v>
      </c>
      <c r="F1035" t="s">
        <v>352</v>
      </c>
      <c r="G1035">
        <v>421262</v>
      </c>
    </row>
    <row r="1036" spans="1:7" x14ac:dyDescent="0.35">
      <c r="A1036">
        <v>2024</v>
      </c>
      <c r="B1036">
        <v>12</v>
      </c>
      <c r="C1036" t="s">
        <v>496</v>
      </c>
      <c r="D1036" t="s">
        <v>66</v>
      </c>
      <c r="E1036" t="s">
        <v>174</v>
      </c>
      <c r="F1036" t="s">
        <v>353</v>
      </c>
      <c r="G1036">
        <v>71718</v>
      </c>
    </row>
    <row r="1037" spans="1:7" x14ac:dyDescent="0.35">
      <c r="A1037">
        <v>2024</v>
      </c>
      <c r="B1037">
        <v>12</v>
      </c>
      <c r="C1037" t="s">
        <v>496</v>
      </c>
      <c r="D1037" t="s">
        <v>66</v>
      </c>
      <c r="E1037" t="s">
        <v>175</v>
      </c>
      <c r="F1037" t="s">
        <v>354</v>
      </c>
      <c r="G1037">
        <v>483</v>
      </c>
    </row>
    <row r="1038" spans="1:7" x14ac:dyDescent="0.35">
      <c r="A1038">
        <v>2024</v>
      </c>
      <c r="B1038">
        <v>12</v>
      </c>
      <c r="C1038" t="s">
        <v>496</v>
      </c>
      <c r="D1038" t="s">
        <v>66</v>
      </c>
      <c r="E1038" t="s">
        <v>176</v>
      </c>
      <c r="F1038" t="s">
        <v>355</v>
      </c>
      <c r="G1038">
        <v>43555</v>
      </c>
    </row>
    <row r="1039" spans="1:7" x14ac:dyDescent="0.35">
      <c r="A1039">
        <v>2024</v>
      </c>
      <c r="B1039">
        <v>12</v>
      </c>
      <c r="C1039" t="s">
        <v>496</v>
      </c>
      <c r="D1039" t="s">
        <v>66</v>
      </c>
      <c r="E1039" t="s">
        <v>177</v>
      </c>
      <c r="F1039" t="s">
        <v>356</v>
      </c>
      <c r="G1039">
        <v>62875</v>
      </c>
    </row>
    <row r="1040" spans="1:7" x14ac:dyDescent="0.35">
      <c r="A1040">
        <v>2024</v>
      </c>
      <c r="B1040">
        <v>12</v>
      </c>
      <c r="C1040" t="s">
        <v>496</v>
      </c>
      <c r="D1040" t="s">
        <v>66</v>
      </c>
      <c r="E1040" t="s">
        <v>178</v>
      </c>
      <c r="F1040" t="s">
        <v>357</v>
      </c>
      <c r="G1040">
        <v>7163</v>
      </c>
    </row>
    <row r="1041" spans="1:7" x14ac:dyDescent="0.35">
      <c r="A1041">
        <v>2024</v>
      </c>
      <c r="B1041">
        <v>12</v>
      </c>
      <c r="C1041" t="s">
        <v>496</v>
      </c>
      <c r="D1041" t="s">
        <v>11</v>
      </c>
      <c r="E1041" t="s">
        <v>179</v>
      </c>
      <c r="F1041" t="s">
        <v>180</v>
      </c>
      <c r="G1041">
        <v>13865</v>
      </c>
    </row>
    <row r="1042" spans="1:7" x14ac:dyDescent="0.35">
      <c r="A1042">
        <v>2024</v>
      </c>
      <c r="B1042">
        <v>12</v>
      </c>
      <c r="C1042" t="s">
        <v>496</v>
      </c>
      <c r="D1042" t="s">
        <v>74</v>
      </c>
      <c r="E1042" t="s">
        <v>205</v>
      </c>
      <c r="F1042" t="s">
        <v>384</v>
      </c>
      <c r="G1042">
        <v>9659</v>
      </c>
    </row>
    <row r="1043" spans="1:7" x14ac:dyDescent="0.35">
      <c r="A1043">
        <v>2024</v>
      </c>
      <c r="B1043">
        <v>12</v>
      </c>
      <c r="C1043" t="s">
        <v>496</v>
      </c>
      <c r="D1043" t="s">
        <v>74</v>
      </c>
      <c r="E1043" t="s">
        <v>184</v>
      </c>
      <c r="F1043" t="s">
        <v>361</v>
      </c>
      <c r="G1043">
        <v>1021</v>
      </c>
    </row>
    <row r="1044" spans="1:7" x14ac:dyDescent="0.35">
      <c r="A1044">
        <v>2024</v>
      </c>
      <c r="B1044">
        <v>12</v>
      </c>
      <c r="C1044" t="s">
        <v>496</v>
      </c>
      <c r="D1044" t="s">
        <v>74</v>
      </c>
      <c r="E1044" t="s">
        <v>266</v>
      </c>
      <c r="F1044" t="s">
        <v>446</v>
      </c>
      <c r="G1044">
        <v>190</v>
      </c>
    </row>
    <row r="1045" spans="1:7" x14ac:dyDescent="0.35">
      <c r="A1045">
        <v>2024</v>
      </c>
      <c r="B1045">
        <v>12</v>
      </c>
      <c r="C1045" t="s">
        <v>496</v>
      </c>
      <c r="D1045" t="s">
        <v>74</v>
      </c>
      <c r="E1045" t="s">
        <v>268</v>
      </c>
      <c r="F1045" t="s">
        <v>448</v>
      </c>
      <c r="G1045">
        <v>148</v>
      </c>
    </row>
    <row r="1046" spans="1:7" x14ac:dyDescent="0.35">
      <c r="A1046">
        <v>2024</v>
      </c>
      <c r="B1046">
        <v>12</v>
      </c>
      <c r="C1046" t="s">
        <v>496</v>
      </c>
      <c r="D1046" t="s">
        <v>74</v>
      </c>
      <c r="E1046" t="s">
        <v>187</v>
      </c>
      <c r="F1046" t="s">
        <v>365</v>
      </c>
      <c r="G1046">
        <v>189</v>
      </c>
    </row>
    <row r="1047" spans="1:7" x14ac:dyDescent="0.35">
      <c r="A1047">
        <v>2024</v>
      </c>
      <c r="B1047">
        <v>12</v>
      </c>
      <c r="C1047" t="s">
        <v>496</v>
      </c>
      <c r="D1047" t="s">
        <v>74</v>
      </c>
      <c r="E1047" t="s">
        <v>283</v>
      </c>
      <c r="F1047" t="s">
        <v>463</v>
      </c>
      <c r="G1047">
        <v>3811</v>
      </c>
    </row>
    <row r="1048" spans="1:7" x14ac:dyDescent="0.35">
      <c r="A1048">
        <v>2024</v>
      </c>
      <c r="B1048">
        <v>12</v>
      </c>
      <c r="C1048" t="s">
        <v>496</v>
      </c>
      <c r="D1048" t="s">
        <v>85</v>
      </c>
      <c r="E1048" t="s">
        <v>188</v>
      </c>
      <c r="F1048" t="s">
        <v>366</v>
      </c>
      <c r="G1048">
        <v>1964979.71</v>
      </c>
    </row>
    <row r="1049" spans="1:7" x14ac:dyDescent="0.35">
      <c r="A1049">
        <v>2024</v>
      </c>
      <c r="B1049">
        <v>12</v>
      </c>
      <c r="C1049" t="s">
        <v>496</v>
      </c>
      <c r="D1049" t="s">
        <v>106</v>
      </c>
      <c r="E1049" t="s">
        <v>189</v>
      </c>
      <c r="F1049" t="s">
        <v>367</v>
      </c>
      <c r="G1049">
        <v>3240044</v>
      </c>
    </row>
    <row r="1050" spans="1:7" x14ac:dyDescent="0.35">
      <c r="A1050">
        <v>2024</v>
      </c>
      <c r="B1050">
        <v>12</v>
      </c>
      <c r="C1050" t="s">
        <v>496</v>
      </c>
      <c r="D1050" t="s">
        <v>106</v>
      </c>
      <c r="E1050" t="s">
        <v>190</v>
      </c>
      <c r="F1050" t="s">
        <v>368</v>
      </c>
      <c r="G1050">
        <v>94435</v>
      </c>
    </row>
    <row r="1051" spans="1:7" x14ac:dyDescent="0.35">
      <c r="A1051">
        <v>2024</v>
      </c>
      <c r="B1051">
        <v>12</v>
      </c>
      <c r="C1051" t="s">
        <v>496</v>
      </c>
      <c r="D1051" t="s">
        <v>106</v>
      </c>
      <c r="E1051" t="s">
        <v>191</v>
      </c>
      <c r="F1051" t="s">
        <v>369</v>
      </c>
      <c r="G1051">
        <v>778724</v>
      </c>
    </row>
    <row r="1052" spans="1:7" x14ac:dyDescent="0.35">
      <c r="A1052">
        <v>2024</v>
      </c>
      <c r="B1052">
        <v>12</v>
      </c>
      <c r="C1052" t="s">
        <v>496</v>
      </c>
      <c r="D1052" t="s">
        <v>106</v>
      </c>
      <c r="E1052" t="s">
        <v>192</v>
      </c>
      <c r="F1052" t="s">
        <v>370</v>
      </c>
      <c r="G1052">
        <v>282656</v>
      </c>
    </row>
    <row r="1053" spans="1:7" x14ac:dyDescent="0.35">
      <c r="A1053">
        <v>2024</v>
      </c>
      <c r="B1053">
        <v>12</v>
      </c>
      <c r="C1053" t="s">
        <v>496</v>
      </c>
      <c r="D1053" t="s">
        <v>106</v>
      </c>
      <c r="E1053" t="s">
        <v>284</v>
      </c>
      <c r="F1053" t="s">
        <v>464</v>
      </c>
      <c r="G1053">
        <v>81961</v>
      </c>
    </row>
    <row r="1054" spans="1:7" x14ac:dyDescent="0.35">
      <c r="A1054">
        <v>2024</v>
      </c>
      <c r="B1054">
        <v>12</v>
      </c>
      <c r="C1054" t="s">
        <v>496</v>
      </c>
      <c r="D1054" t="s">
        <v>106</v>
      </c>
      <c r="E1054" t="s">
        <v>193</v>
      </c>
      <c r="F1054" t="s">
        <v>371</v>
      </c>
      <c r="G1054">
        <v>28800</v>
      </c>
    </row>
    <row r="1055" spans="1:7" x14ac:dyDescent="0.35">
      <c r="A1055">
        <v>2024</v>
      </c>
      <c r="B1055">
        <v>12</v>
      </c>
      <c r="C1055" t="s">
        <v>496</v>
      </c>
      <c r="D1055" t="s">
        <v>106</v>
      </c>
      <c r="E1055" t="s">
        <v>194</v>
      </c>
      <c r="F1055" t="s">
        <v>372</v>
      </c>
      <c r="G1055">
        <v>1000</v>
      </c>
    </row>
    <row r="1056" spans="1:7" x14ac:dyDescent="0.35">
      <c r="A1056">
        <v>2024</v>
      </c>
      <c r="B1056">
        <v>12</v>
      </c>
      <c r="C1056" t="s">
        <v>496</v>
      </c>
      <c r="D1056" t="s">
        <v>106</v>
      </c>
      <c r="E1056" t="s">
        <v>195</v>
      </c>
      <c r="F1056" t="s">
        <v>373</v>
      </c>
      <c r="G1056">
        <v>80519</v>
      </c>
    </row>
    <row r="1057" spans="1:7" x14ac:dyDescent="0.35">
      <c r="A1057">
        <v>2024</v>
      </c>
      <c r="B1057">
        <v>12</v>
      </c>
      <c r="C1057" t="s">
        <v>496</v>
      </c>
      <c r="D1057" t="s">
        <v>490</v>
      </c>
      <c r="E1057" t="s">
        <v>490</v>
      </c>
      <c r="F1057" t="s">
        <v>491</v>
      </c>
      <c r="G1057">
        <v>3770</v>
      </c>
    </row>
    <row r="1058" spans="1:7" x14ac:dyDescent="0.35">
      <c r="A1058">
        <v>2024</v>
      </c>
      <c r="B1058">
        <v>12</v>
      </c>
      <c r="C1058" t="s">
        <v>496</v>
      </c>
      <c r="D1058" t="s">
        <v>75</v>
      </c>
      <c r="E1058" t="s">
        <v>204</v>
      </c>
      <c r="F1058" t="s">
        <v>383</v>
      </c>
      <c r="G1058">
        <v>20000</v>
      </c>
    </row>
    <row r="1059" spans="1:7" x14ac:dyDescent="0.35">
      <c r="A1059">
        <v>2024</v>
      </c>
      <c r="B1059">
        <v>12</v>
      </c>
      <c r="C1059" t="s">
        <v>496</v>
      </c>
      <c r="D1059" t="s">
        <v>23</v>
      </c>
      <c r="E1059" t="s">
        <v>206</v>
      </c>
      <c r="F1059" t="s">
        <v>385</v>
      </c>
      <c r="G1059">
        <v>5367</v>
      </c>
    </row>
    <row r="1060" spans="1:7" x14ac:dyDescent="0.35">
      <c r="A1060">
        <v>2024</v>
      </c>
      <c r="B1060">
        <v>12</v>
      </c>
      <c r="C1060" t="s">
        <v>496</v>
      </c>
      <c r="D1060" t="s">
        <v>24</v>
      </c>
      <c r="E1060" t="s">
        <v>207</v>
      </c>
      <c r="F1060" t="s">
        <v>386</v>
      </c>
      <c r="G1060">
        <v>61735</v>
      </c>
    </row>
    <row r="1061" spans="1:7" x14ac:dyDescent="0.35">
      <c r="A1061">
        <v>2024</v>
      </c>
      <c r="B1061">
        <v>12</v>
      </c>
      <c r="C1061" t="s">
        <v>496</v>
      </c>
      <c r="D1061" t="s">
        <v>519</v>
      </c>
      <c r="E1061" t="s">
        <v>202</v>
      </c>
      <c r="F1061" t="s">
        <v>380</v>
      </c>
      <c r="G1061">
        <v>68715.7</v>
      </c>
    </row>
    <row r="1062" spans="1:7" x14ac:dyDescent="0.35">
      <c r="A1062">
        <v>2024</v>
      </c>
      <c r="B1062">
        <v>12</v>
      </c>
      <c r="C1062" t="s">
        <v>496</v>
      </c>
      <c r="D1062" t="s">
        <v>519</v>
      </c>
      <c r="E1062" t="s">
        <v>203</v>
      </c>
      <c r="F1062" t="s">
        <v>381</v>
      </c>
      <c r="G1062">
        <v>5338.32</v>
      </c>
    </row>
    <row r="1063" spans="1:7" x14ac:dyDescent="0.35">
      <c r="A1063">
        <v>2024</v>
      </c>
      <c r="B1063">
        <v>12</v>
      </c>
      <c r="C1063" t="s">
        <v>496</v>
      </c>
      <c r="D1063" t="s">
        <v>519</v>
      </c>
      <c r="E1063" t="s">
        <v>196</v>
      </c>
      <c r="F1063" t="s">
        <v>382</v>
      </c>
      <c r="G1063">
        <v>1.91</v>
      </c>
    </row>
    <row r="1064" spans="1:7" x14ac:dyDescent="0.35">
      <c r="A1064">
        <v>2024</v>
      </c>
      <c r="B1064">
        <v>12</v>
      </c>
      <c r="C1064" t="s">
        <v>496</v>
      </c>
      <c r="D1064" t="s">
        <v>519</v>
      </c>
      <c r="E1064" t="s">
        <v>285</v>
      </c>
      <c r="F1064" t="s">
        <v>465</v>
      </c>
      <c r="G1064">
        <v>5758.93</v>
      </c>
    </row>
    <row r="1065" spans="1:7" x14ac:dyDescent="0.35">
      <c r="A1065">
        <v>2024</v>
      </c>
      <c r="B1065">
        <v>12</v>
      </c>
      <c r="C1065" t="s">
        <v>496</v>
      </c>
      <c r="D1065" t="s">
        <v>520</v>
      </c>
      <c r="E1065" t="s">
        <v>241</v>
      </c>
      <c r="F1065" t="s">
        <v>420</v>
      </c>
      <c r="G1065">
        <v>744</v>
      </c>
    </row>
    <row r="1066" spans="1:7" x14ac:dyDescent="0.35">
      <c r="A1066">
        <v>2024</v>
      </c>
      <c r="B1066">
        <v>12</v>
      </c>
      <c r="C1066" t="s">
        <v>496</v>
      </c>
      <c r="D1066" t="s">
        <v>520</v>
      </c>
      <c r="E1066" t="s">
        <v>208</v>
      </c>
      <c r="F1066" t="s">
        <v>387</v>
      </c>
      <c r="G1066">
        <v>496</v>
      </c>
    </row>
    <row r="1067" spans="1:7" x14ac:dyDescent="0.35">
      <c r="A1067">
        <v>2024</v>
      </c>
      <c r="B1067">
        <v>12</v>
      </c>
      <c r="C1067" t="s">
        <v>496</v>
      </c>
      <c r="D1067" t="s">
        <v>520</v>
      </c>
      <c r="E1067" t="s">
        <v>134</v>
      </c>
      <c r="F1067" t="s">
        <v>315</v>
      </c>
      <c r="G1067">
        <v>5872</v>
      </c>
    </row>
    <row r="1068" spans="1:7" x14ac:dyDescent="0.35">
      <c r="A1068">
        <v>2024</v>
      </c>
      <c r="B1068">
        <v>12</v>
      </c>
      <c r="C1068" t="s">
        <v>496</v>
      </c>
      <c r="D1068" t="s">
        <v>520</v>
      </c>
      <c r="E1068" t="s">
        <v>196</v>
      </c>
      <c r="F1068" t="s">
        <v>374</v>
      </c>
      <c r="G1068">
        <v>6</v>
      </c>
    </row>
    <row r="1069" spans="1:7" x14ac:dyDescent="0.35">
      <c r="A1069">
        <v>2024</v>
      </c>
      <c r="B1069">
        <v>12</v>
      </c>
      <c r="C1069" t="s">
        <v>496</v>
      </c>
      <c r="D1069" t="s">
        <v>520</v>
      </c>
      <c r="E1069" t="s">
        <v>197</v>
      </c>
      <c r="F1069" t="s">
        <v>375</v>
      </c>
      <c r="G1069">
        <v>44685</v>
      </c>
    </row>
    <row r="1070" spans="1:7" x14ac:dyDescent="0.35">
      <c r="A1070">
        <v>2024</v>
      </c>
      <c r="B1070">
        <v>12</v>
      </c>
      <c r="C1070" t="s">
        <v>496</v>
      </c>
      <c r="D1070" t="s">
        <v>520</v>
      </c>
      <c r="E1070" t="s">
        <v>198</v>
      </c>
      <c r="F1070" t="s">
        <v>376</v>
      </c>
      <c r="G1070">
        <v>1882</v>
      </c>
    </row>
    <row r="1071" spans="1:7" x14ac:dyDescent="0.35">
      <c r="A1071">
        <v>2024</v>
      </c>
      <c r="B1071">
        <v>12</v>
      </c>
      <c r="C1071" t="s">
        <v>496</v>
      </c>
      <c r="D1071" t="s">
        <v>520</v>
      </c>
      <c r="E1071" t="s">
        <v>200</v>
      </c>
      <c r="F1071" t="s">
        <v>378</v>
      </c>
      <c r="G1071">
        <v>2951</v>
      </c>
    </row>
    <row r="1072" spans="1:7" x14ac:dyDescent="0.35">
      <c r="A1072">
        <v>2024</v>
      </c>
      <c r="B1072">
        <v>12</v>
      </c>
      <c r="C1072" t="s">
        <v>496</v>
      </c>
      <c r="D1072" t="s">
        <v>520</v>
      </c>
      <c r="E1072" t="s">
        <v>201</v>
      </c>
      <c r="F1072" t="s">
        <v>379</v>
      </c>
      <c r="G1072">
        <v>37195</v>
      </c>
    </row>
    <row r="1073" spans="1:7" x14ac:dyDescent="0.35">
      <c r="A1073">
        <v>2024</v>
      </c>
      <c r="B1073">
        <v>12</v>
      </c>
      <c r="C1073" t="s">
        <v>496</v>
      </c>
      <c r="D1073" t="s">
        <v>33</v>
      </c>
      <c r="E1073" t="s">
        <v>209</v>
      </c>
      <c r="F1073" t="s">
        <v>388</v>
      </c>
      <c r="G1073">
        <v>12367</v>
      </c>
    </row>
    <row r="1074" spans="1:7" x14ac:dyDescent="0.35">
      <c r="A1074">
        <v>2024</v>
      </c>
      <c r="B1074">
        <v>12</v>
      </c>
      <c r="C1074" t="s">
        <v>496</v>
      </c>
      <c r="D1074" t="s">
        <v>12</v>
      </c>
      <c r="E1074" t="s">
        <v>210</v>
      </c>
      <c r="F1074" t="s">
        <v>389</v>
      </c>
      <c r="G1074">
        <v>1914</v>
      </c>
    </row>
    <row r="1075" spans="1:7" x14ac:dyDescent="0.35">
      <c r="A1075">
        <v>2024</v>
      </c>
      <c r="B1075">
        <v>12</v>
      </c>
      <c r="C1075" t="s">
        <v>496</v>
      </c>
      <c r="D1075" t="s">
        <v>12</v>
      </c>
      <c r="E1075" t="s">
        <v>212</v>
      </c>
      <c r="F1075" t="s">
        <v>391</v>
      </c>
      <c r="G1075">
        <v>7196</v>
      </c>
    </row>
    <row r="1076" spans="1:7" x14ac:dyDescent="0.35">
      <c r="A1076">
        <v>2024</v>
      </c>
      <c r="B1076">
        <v>12</v>
      </c>
      <c r="C1076" t="s">
        <v>496</v>
      </c>
      <c r="D1076" t="s">
        <v>12</v>
      </c>
      <c r="E1076" t="s">
        <v>273</v>
      </c>
      <c r="F1076" t="s">
        <v>453</v>
      </c>
      <c r="G1076">
        <v>869</v>
      </c>
    </row>
    <row r="1077" spans="1:7" x14ac:dyDescent="0.35">
      <c r="A1077">
        <v>2024</v>
      </c>
      <c r="B1077">
        <v>12</v>
      </c>
      <c r="C1077" t="s">
        <v>496</v>
      </c>
      <c r="D1077" t="s">
        <v>12</v>
      </c>
      <c r="E1077" t="s">
        <v>213</v>
      </c>
      <c r="F1077" t="s">
        <v>392</v>
      </c>
      <c r="G1077">
        <v>7212</v>
      </c>
    </row>
    <row r="1078" spans="1:7" x14ac:dyDescent="0.35">
      <c r="A1078">
        <v>2024</v>
      </c>
      <c r="B1078">
        <v>12</v>
      </c>
      <c r="C1078" t="s">
        <v>496</v>
      </c>
      <c r="D1078" t="s">
        <v>12</v>
      </c>
      <c r="E1078" t="s">
        <v>214</v>
      </c>
      <c r="F1078" t="s">
        <v>394</v>
      </c>
      <c r="G1078">
        <v>1491</v>
      </c>
    </row>
    <row r="1079" spans="1:7" x14ac:dyDescent="0.35">
      <c r="A1079">
        <v>2024</v>
      </c>
      <c r="B1079">
        <v>12</v>
      </c>
      <c r="C1079" t="s">
        <v>496</v>
      </c>
      <c r="D1079" t="s">
        <v>12</v>
      </c>
      <c r="E1079" t="s">
        <v>215</v>
      </c>
      <c r="F1079" t="s">
        <v>395</v>
      </c>
      <c r="G1079">
        <v>1609</v>
      </c>
    </row>
    <row r="1080" spans="1:7" x14ac:dyDescent="0.35">
      <c r="A1080">
        <v>2024</v>
      </c>
      <c r="B1080">
        <v>12</v>
      </c>
      <c r="C1080" t="s">
        <v>496</v>
      </c>
      <c r="D1080" t="s">
        <v>12</v>
      </c>
      <c r="E1080" t="s">
        <v>216</v>
      </c>
      <c r="F1080" t="s">
        <v>396</v>
      </c>
      <c r="G1080">
        <v>5985</v>
      </c>
    </row>
    <row r="1081" spans="1:7" x14ac:dyDescent="0.35">
      <c r="A1081">
        <v>2024</v>
      </c>
      <c r="B1081">
        <v>12</v>
      </c>
      <c r="C1081" t="s">
        <v>496</v>
      </c>
      <c r="D1081" t="s">
        <v>12</v>
      </c>
      <c r="E1081" t="s">
        <v>217</v>
      </c>
      <c r="F1081" t="s">
        <v>397</v>
      </c>
      <c r="G1081">
        <v>2805</v>
      </c>
    </row>
    <row r="1082" spans="1:7" x14ac:dyDescent="0.35">
      <c r="A1082">
        <v>2024</v>
      </c>
      <c r="B1082">
        <v>12</v>
      </c>
      <c r="C1082" t="s">
        <v>496</v>
      </c>
      <c r="D1082" t="s">
        <v>12</v>
      </c>
      <c r="E1082" t="s">
        <v>286</v>
      </c>
      <c r="F1082" t="s">
        <v>466</v>
      </c>
      <c r="G1082">
        <v>658</v>
      </c>
    </row>
    <row r="1083" spans="1:7" x14ac:dyDescent="0.35">
      <c r="A1083">
        <v>2024</v>
      </c>
      <c r="B1083">
        <v>12</v>
      </c>
      <c r="C1083" t="s">
        <v>496</v>
      </c>
      <c r="D1083" t="s">
        <v>12</v>
      </c>
      <c r="E1083" t="s">
        <v>218</v>
      </c>
      <c r="F1083" t="s">
        <v>398</v>
      </c>
      <c r="G1083">
        <v>6051</v>
      </c>
    </row>
    <row r="1084" spans="1:7" x14ac:dyDescent="0.35">
      <c r="A1084">
        <v>2024</v>
      </c>
      <c r="B1084">
        <v>12</v>
      </c>
      <c r="C1084" t="s">
        <v>496</v>
      </c>
      <c r="D1084" t="s">
        <v>12</v>
      </c>
      <c r="E1084" t="s">
        <v>219</v>
      </c>
      <c r="F1084" t="s">
        <v>399</v>
      </c>
      <c r="G1084">
        <v>3013</v>
      </c>
    </row>
    <row r="1085" spans="1:7" x14ac:dyDescent="0.35">
      <c r="A1085">
        <v>2024</v>
      </c>
      <c r="B1085">
        <v>12</v>
      </c>
      <c r="C1085" t="s">
        <v>496</v>
      </c>
      <c r="D1085" t="s">
        <v>12</v>
      </c>
      <c r="E1085" t="s">
        <v>220</v>
      </c>
      <c r="F1085" t="s">
        <v>400</v>
      </c>
      <c r="G1085">
        <v>4629</v>
      </c>
    </row>
    <row r="1086" spans="1:7" x14ac:dyDescent="0.35">
      <c r="A1086">
        <v>2024</v>
      </c>
      <c r="B1086">
        <v>12</v>
      </c>
      <c r="C1086" t="s">
        <v>496</v>
      </c>
      <c r="D1086" t="s">
        <v>12</v>
      </c>
      <c r="E1086" t="s">
        <v>221</v>
      </c>
      <c r="F1086" t="s">
        <v>401</v>
      </c>
      <c r="G1086">
        <v>2460</v>
      </c>
    </row>
    <row r="1087" spans="1:7" x14ac:dyDescent="0.35">
      <c r="A1087">
        <v>2024</v>
      </c>
      <c r="B1087">
        <v>12</v>
      </c>
      <c r="C1087" t="s">
        <v>496</v>
      </c>
      <c r="D1087" t="s">
        <v>12</v>
      </c>
      <c r="E1087" t="s">
        <v>222</v>
      </c>
      <c r="F1087" t="s">
        <v>402</v>
      </c>
      <c r="G1087">
        <v>6596</v>
      </c>
    </row>
    <row r="1088" spans="1:7" x14ac:dyDescent="0.35">
      <c r="A1088">
        <v>2024</v>
      </c>
      <c r="B1088">
        <v>12</v>
      </c>
      <c r="C1088" t="s">
        <v>496</v>
      </c>
      <c r="D1088" t="s">
        <v>28</v>
      </c>
      <c r="E1088" t="s">
        <v>223</v>
      </c>
      <c r="F1088" t="s">
        <v>403</v>
      </c>
      <c r="G1088">
        <v>26260</v>
      </c>
    </row>
    <row r="1089" spans="1:7" x14ac:dyDescent="0.35">
      <c r="A1089">
        <v>2024</v>
      </c>
      <c r="B1089">
        <v>12</v>
      </c>
      <c r="C1089" t="s">
        <v>496</v>
      </c>
      <c r="D1089" t="s">
        <v>64</v>
      </c>
      <c r="E1089" t="s">
        <v>225</v>
      </c>
      <c r="F1089" t="s">
        <v>405</v>
      </c>
      <c r="G1089">
        <v>2807</v>
      </c>
    </row>
    <row r="1090" spans="1:7" x14ac:dyDescent="0.35">
      <c r="A1090">
        <v>2024</v>
      </c>
      <c r="B1090">
        <v>12</v>
      </c>
      <c r="C1090" t="s">
        <v>496</v>
      </c>
      <c r="D1090" t="s">
        <v>102</v>
      </c>
      <c r="E1090" t="s">
        <v>227</v>
      </c>
      <c r="F1090" t="s">
        <v>407</v>
      </c>
      <c r="G1090">
        <v>-43570</v>
      </c>
    </row>
    <row r="1091" spans="1:7" x14ac:dyDescent="0.35">
      <c r="A1091">
        <v>2024</v>
      </c>
      <c r="B1091">
        <v>12</v>
      </c>
      <c r="C1091" t="s">
        <v>496</v>
      </c>
      <c r="D1091" t="s">
        <v>25</v>
      </c>
      <c r="E1091" t="s">
        <v>228</v>
      </c>
      <c r="F1091" t="s">
        <v>408</v>
      </c>
      <c r="G1091">
        <v>12000</v>
      </c>
    </row>
    <row r="1092" spans="1:7" x14ac:dyDescent="0.35">
      <c r="A1092">
        <v>2024</v>
      </c>
      <c r="B1092">
        <v>12</v>
      </c>
      <c r="C1092" t="s">
        <v>496</v>
      </c>
      <c r="D1092" t="s">
        <v>25</v>
      </c>
      <c r="E1092" t="s">
        <v>274</v>
      </c>
      <c r="F1092" t="s">
        <v>454</v>
      </c>
      <c r="G1092">
        <v>4807</v>
      </c>
    </row>
    <row r="1093" spans="1:7" x14ac:dyDescent="0.35">
      <c r="A1093">
        <v>2024</v>
      </c>
      <c r="B1093">
        <v>12</v>
      </c>
      <c r="C1093" t="s">
        <v>496</v>
      </c>
      <c r="D1093" t="s">
        <v>229</v>
      </c>
      <c r="E1093" t="s">
        <v>230</v>
      </c>
      <c r="F1093" t="s">
        <v>409</v>
      </c>
      <c r="G1093">
        <v>-28673</v>
      </c>
    </row>
    <row r="1094" spans="1:7" x14ac:dyDescent="0.35">
      <c r="A1094">
        <v>2024</v>
      </c>
      <c r="B1094">
        <v>12</v>
      </c>
      <c r="C1094" t="s">
        <v>496</v>
      </c>
      <c r="D1094" t="s">
        <v>231</v>
      </c>
      <c r="E1094" t="s">
        <v>231</v>
      </c>
      <c r="F1094" t="s">
        <v>410</v>
      </c>
      <c r="G1094">
        <v>4369</v>
      </c>
    </row>
    <row r="1095" spans="1:7" x14ac:dyDescent="0.35">
      <c r="A1095">
        <v>2024</v>
      </c>
      <c r="B1095">
        <v>12</v>
      </c>
      <c r="C1095" t="s">
        <v>496</v>
      </c>
      <c r="D1095" t="s">
        <v>13</v>
      </c>
      <c r="E1095" t="s">
        <v>232</v>
      </c>
      <c r="F1095" t="s">
        <v>411</v>
      </c>
      <c r="G1095">
        <v>9552</v>
      </c>
    </row>
    <row r="1096" spans="1:7" x14ac:dyDescent="0.35">
      <c r="A1096">
        <v>2024</v>
      </c>
      <c r="B1096">
        <v>12</v>
      </c>
      <c r="C1096" t="s">
        <v>496</v>
      </c>
      <c r="D1096" t="s">
        <v>94</v>
      </c>
      <c r="E1096" t="s">
        <v>233</v>
      </c>
      <c r="F1096" t="s">
        <v>412</v>
      </c>
      <c r="G1096">
        <v>48398</v>
      </c>
    </row>
    <row r="1097" spans="1:7" x14ac:dyDescent="0.35">
      <c r="A1097">
        <v>2024</v>
      </c>
      <c r="B1097">
        <v>12</v>
      </c>
      <c r="C1097" t="s">
        <v>496</v>
      </c>
      <c r="D1097" t="s">
        <v>36</v>
      </c>
      <c r="E1097" t="s">
        <v>275</v>
      </c>
      <c r="F1097" t="s">
        <v>455</v>
      </c>
      <c r="G1097">
        <v>9326</v>
      </c>
    </row>
    <row r="1098" spans="1:7" x14ac:dyDescent="0.35">
      <c r="A1098">
        <v>2024</v>
      </c>
      <c r="B1098">
        <v>12</v>
      </c>
      <c r="C1098" t="s">
        <v>496</v>
      </c>
      <c r="D1098" t="s">
        <v>40</v>
      </c>
      <c r="E1098" t="s">
        <v>235</v>
      </c>
      <c r="F1098" t="s">
        <v>414</v>
      </c>
      <c r="G1098">
        <v>2864</v>
      </c>
    </row>
    <row r="1099" spans="1:7" x14ac:dyDescent="0.35">
      <c r="A1099">
        <v>2024</v>
      </c>
      <c r="B1099">
        <v>12</v>
      </c>
      <c r="C1099" t="s">
        <v>496</v>
      </c>
      <c r="D1099" t="s">
        <v>45</v>
      </c>
      <c r="E1099" t="s">
        <v>276</v>
      </c>
      <c r="F1099" t="s">
        <v>456</v>
      </c>
      <c r="G1099">
        <v>73684</v>
      </c>
    </row>
    <row r="1100" spans="1:7" x14ac:dyDescent="0.35">
      <c r="A1100">
        <v>2024</v>
      </c>
      <c r="B1100">
        <v>12</v>
      </c>
      <c r="C1100" t="s">
        <v>496</v>
      </c>
      <c r="D1100" t="s">
        <v>76</v>
      </c>
      <c r="E1100" t="s">
        <v>236</v>
      </c>
      <c r="F1100" t="s">
        <v>415</v>
      </c>
      <c r="G1100">
        <v>1969862</v>
      </c>
    </row>
    <row r="1101" spans="1:7" x14ac:dyDescent="0.35">
      <c r="A1101">
        <v>2024</v>
      </c>
      <c r="B1101">
        <v>12</v>
      </c>
      <c r="C1101" t="s">
        <v>496</v>
      </c>
      <c r="D1101" t="s">
        <v>76</v>
      </c>
      <c r="E1101" t="s">
        <v>237</v>
      </c>
      <c r="F1101" t="s">
        <v>416</v>
      </c>
      <c r="G1101">
        <v>-43570.39</v>
      </c>
    </row>
    <row r="1102" spans="1:7" x14ac:dyDescent="0.35">
      <c r="A1102">
        <v>2024</v>
      </c>
      <c r="B1102">
        <v>12</v>
      </c>
      <c r="C1102" t="s">
        <v>496</v>
      </c>
      <c r="D1102" t="s">
        <v>76</v>
      </c>
      <c r="E1102" t="s">
        <v>238</v>
      </c>
      <c r="F1102" t="s">
        <v>417</v>
      </c>
      <c r="G1102">
        <v>17639.55</v>
      </c>
    </row>
    <row r="1103" spans="1:7" x14ac:dyDescent="0.35">
      <c r="A1103">
        <v>2024</v>
      </c>
      <c r="B1103">
        <v>12</v>
      </c>
      <c r="C1103" t="s">
        <v>496</v>
      </c>
      <c r="D1103" t="s">
        <v>76</v>
      </c>
      <c r="E1103" t="s">
        <v>239</v>
      </c>
      <c r="F1103" t="s">
        <v>418</v>
      </c>
      <c r="G1103">
        <v>-122033.35</v>
      </c>
    </row>
    <row r="1104" spans="1:7" x14ac:dyDescent="0.35">
      <c r="A1104">
        <v>2024</v>
      </c>
      <c r="B1104">
        <v>12</v>
      </c>
      <c r="C1104" t="s">
        <v>496</v>
      </c>
      <c r="D1104" t="s">
        <v>35</v>
      </c>
      <c r="E1104" t="s">
        <v>240</v>
      </c>
      <c r="F1104" t="s">
        <v>419</v>
      </c>
      <c r="G1104">
        <v>72311</v>
      </c>
    </row>
    <row r="1105" spans="1:7" x14ac:dyDescent="0.35">
      <c r="A1105">
        <v>2024</v>
      </c>
      <c r="B1105">
        <v>12</v>
      </c>
      <c r="C1105" t="s">
        <v>496</v>
      </c>
      <c r="D1105" t="s">
        <v>103</v>
      </c>
      <c r="E1105" t="s">
        <v>242</v>
      </c>
      <c r="F1105" t="s">
        <v>421</v>
      </c>
      <c r="G1105">
        <v>17640</v>
      </c>
    </row>
    <row r="1106" spans="1:7" x14ac:dyDescent="0.35">
      <c r="A1106">
        <v>2024</v>
      </c>
      <c r="B1106">
        <v>12</v>
      </c>
      <c r="C1106" t="s">
        <v>496</v>
      </c>
      <c r="D1106" t="s">
        <v>104</v>
      </c>
      <c r="E1106" t="s">
        <v>243</v>
      </c>
      <c r="F1106" t="s">
        <v>422</v>
      </c>
      <c r="G1106">
        <v>-122033</v>
      </c>
    </row>
    <row r="1107" spans="1:7" x14ac:dyDescent="0.35">
      <c r="A1107">
        <v>2024</v>
      </c>
      <c r="B1107">
        <v>12</v>
      </c>
      <c r="C1107" t="s">
        <v>496</v>
      </c>
      <c r="D1107" t="s">
        <v>244</v>
      </c>
      <c r="E1107" t="s">
        <v>245</v>
      </c>
      <c r="F1107" t="s">
        <v>423</v>
      </c>
      <c r="G1107">
        <v>360565</v>
      </c>
    </row>
    <row r="1108" spans="1:7" x14ac:dyDescent="0.35">
      <c r="A1108">
        <v>2024</v>
      </c>
      <c r="B1108">
        <v>12</v>
      </c>
      <c r="C1108" t="s">
        <v>496</v>
      </c>
      <c r="D1108" t="s">
        <v>14</v>
      </c>
      <c r="E1108" t="s">
        <v>131</v>
      </c>
      <c r="F1108" t="s">
        <v>425</v>
      </c>
      <c r="G1108">
        <v>136758</v>
      </c>
    </row>
    <row r="1109" spans="1:7" x14ac:dyDescent="0.35">
      <c r="A1109">
        <v>2024</v>
      </c>
      <c r="B1109">
        <v>12</v>
      </c>
      <c r="C1109" t="s">
        <v>496</v>
      </c>
      <c r="D1109" t="s">
        <v>30</v>
      </c>
      <c r="E1109" t="s">
        <v>247</v>
      </c>
      <c r="F1109" t="s">
        <v>426</v>
      </c>
      <c r="G1109">
        <v>13712</v>
      </c>
    </row>
    <row r="1110" spans="1:7" x14ac:dyDescent="0.35">
      <c r="A1110">
        <v>2024</v>
      </c>
      <c r="B1110">
        <v>12</v>
      </c>
      <c r="C1110" t="s">
        <v>496</v>
      </c>
      <c r="D1110" t="s">
        <v>15</v>
      </c>
      <c r="E1110" t="s">
        <v>248</v>
      </c>
      <c r="F1110" t="s">
        <v>427</v>
      </c>
      <c r="G1110">
        <v>30346</v>
      </c>
    </row>
    <row r="1111" spans="1:7" x14ac:dyDescent="0.35">
      <c r="A1111">
        <v>2024</v>
      </c>
      <c r="B1111">
        <v>12</v>
      </c>
      <c r="C1111" t="s">
        <v>496</v>
      </c>
      <c r="D1111" t="s">
        <v>90</v>
      </c>
      <c r="E1111" t="s">
        <v>249</v>
      </c>
      <c r="F1111" t="s">
        <v>428</v>
      </c>
      <c r="G1111">
        <v>20404</v>
      </c>
    </row>
    <row r="1112" spans="1:7" x14ac:dyDescent="0.35">
      <c r="A1112">
        <v>2024</v>
      </c>
      <c r="B1112">
        <v>12</v>
      </c>
      <c r="C1112" t="s">
        <v>496</v>
      </c>
      <c r="D1112" t="s">
        <v>84</v>
      </c>
      <c r="E1112" t="s">
        <v>250</v>
      </c>
      <c r="F1112" t="s">
        <v>429</v>
      </c>
      <c r="G1112">
        <v>1839930.28</v>
      </c>
    </row>
    <row r="1113" spans="1:7" x14ac:dyDescent="0.35">
      <c r="A1113">
        <v>2024</v>
      </c>
      <c r="B1113">
        <v>12</v>
      </c>
      <c r="C1113" t="s">
        <v>496</v>
      </c>
      <c r="D1113" t="s">
        <v>81</v>
      </c>
      <c r="E1113" t="s">
        <v>252</v>
      </c>
      <c r="F1113" t="s">
        <v>431</v>
      </c>
      <c r="G1113">
        <v>2721792.5</v>
      </c>
    </row>
    <row r="1114" spans="1:7" x14ac:dyDescent="0.35">
      <c r="A1114">
        <v>2024</v>
      </c>
      <c r="B1114">
        <v>12</v>
      </c>
      <c r="C1114" t="s">
        <v>496</v>
      </c>
      <c r="D1114" t="s">
        <v>81</v>
      </c>
      <c r="E1114" t="s">
        <v>289</v>
      </c>
      <c r="F1114" t="s">
        <v>471</v>
      </c>
      <c r="G1114">
        <v>3190820</v>
      </c>
    </row>
    <row r="1115" spans="1:7" x14ac:dyDescent="0.35">
      <c r="A1115">
        <v>2024</v>
      </c>
      <c r="B1115">
        <v>12</v>
      </c>
      <c r="C1115" t="s">
        <v>496</v>
      </c>
      <c r="D1115" t="s">
        <v>44</v>
      </c>
      <c r="E1115" t="s">
        <v>253</v>
      </c>
      <c r="F1115" t="s">
        <v>432</v>
      </c>
      <c r="G1115">
        <v>82080</v>
      </c>
    </row>
    <row r="1116" spans="1:7" x14ac:dyDescent="0.35">
      <c r="A1116">
        <v>2024</v>
      </c>
      <c r="B1116">
        <v>12</v>
      </c>
      <c r="C1116" t="s">
        <v>496</v>
      </c>
      <c r="D1116" t="s">
        <v>16</v>
      </c>
      <c r="E1116" t="s">
        <v>254</v>
      </c>
      <c r="F1116" t="s">
        <v>433</v>
      </c>
      <c r="G1116">
        <v>27548</v>
      </c>
    </row>
    <row r="1117" spans="1:7" x14ac:dyDescent="0.35">
      <c r="A1117">
        <v>2024</v>
      </c>
      <c r="B1117">
        <v>12</v>
      </c>
      <c r="C1117" t="s">
        <v>496</v>
      </c>
      <c r="D1117" t="s">
        <v>55</v>
      </c>
      <c r="E1117" t="s">
        <v>287</v>
      </c>
      <c r="F1117" t="s">
        <v>467</v>
      </c>
      <c r="G1117">
        <v>40215</v>
      </c>
    </row>
    <row r="1118" spans="1:7" x14ac:dyDescent="0.35">
      <c r="A1118">
        <v>2024</v>
      </c>
      <c r="B1118">
        <v>12</v>
      </c>
      <c r="C1118" t="s">
        <v>496</v>
      </c>
      <c r="D1118" t="s">
        <v>37</v>
      </c>
      <c r="E1118" t="s">
        <v>256</v>
      </c>
      <c r="F1118" t="s">
        <v>435</v>
      </c>
      <c r="G1118">
        <v>-16576.04</v>
      </c>
    </row>
    <row r="1119" spans="1:7" x14ac:dyDescent="0.35">
      <c r="A1119">
        <v>2024</v>
      </c>
      <c r="B1119">
        <v>12</v>
      </c>
      <c r="C1119" t="s">
        <v>496</v>
      </c>
      <c r="D1119" t="s">
        <v>37</v>
      </c>
      <c r="E1119" t="s">
        <v>257</v>
      </c>
      <c r="F1119" t="s">
        <v>436</v>
      </c>
      <c r="G1119">
        <v>-1754327.14</v>
      </c>
    </row>
    <row r="1120" spans="1:7" x14ac:dyDescent="0.35">
      <c r="A1120">
        <v>2025</v>
      </c>
      <c r="B1120">
        <v>1</v>
      </c>
      <c r="C1120" t="s">
        <v>501</v>
      </c>
      <c r="E1120" t="s">
        <v>291</v>
      </c>
      <c r="F1120" t="s">
        <v>474</v>
      </c>
      <c r="G1120">
        <v>11269</v>
      </c>
    </row>
    <row r="1121" spans="1:7" x14ac:dyDescent="0.35">
      <c r="A1121">
        <v>2025</v>
      </c>
      <c r="B1121">
        <v>1</v>
      </c>
      <c r="C1121" t="s">
        <v>501</v>
      </c>
      <c r="E1121" t="s">
        <v>293</v>
      </c>
      <c r="F1121" t="s">
        <v>477</v>
      </c>
      <c r="G1121">
        <v>1474</v>
      </c>
    </row>
    <row r="1122" spans="1:7" x14ac:dyDescent="0.35">
      <c r="A1122">
        <v>2025</v>
      </c>
      <c r="B1122">
        <v>1</v>
      </c>
      <c r="C1122" t="s">
        <v>501</v>
      </c>
      <c r="D1122" t="s">
        <v>6</v>
      </c>
      <c r="E1122" t="s">
        <v>135</v>
      </c>
      <c r="F1122" t="s">
        <v>316</v>
      </c>
      <c r="G1122">
        <v>38535</v>
      </c>
    </row>
    <row r="1123" spans="1:7" x14ac:dyDescent="0.35">
      <c r="A1123">
        <v>2025</v>
      </c>
      <c r="B1123">
        <v>1</v>
      </c>
      <c r="C1123" t="s">
        <v>501</v>
      </c>
      <c r="D1123" t="s">
        <v>6</v>
      </c>
      <c r="E1123" t="s">
        <v>136</v>
      </c>
      <c r="F1123" t="s">
        <v>317</v>
      </c>
      <c r="G1123">
        <v>7831</v>
      </c>
    </row>
    <row r="1124" spans="1:7" x14ac:dyDescent="0.35">
      <c r="A1124">
        <v>2025</v>
      </c>
      <c r="B1124">
        <v>1</v>
      </c>
      <c r="C1124" t="s">
        <v>501</v>
      </c>
      <c r="D1124" t="s">
        <v>6</v>
      </c>
      <c r="E1124" t="s">
        <v>137</v>
      </c>
      <c r="F1124" t="s">
        <v>318</v>
      </c>
      <c r="G1124">
        <v>21407</v>
      </c>
    </row>
    <row r="1125" spans="1:7" x14ac:dyDescent="0.35">
      <c r="A1125">
        <v>2025</v>
      </c>
      <c r="B1125">
        <v>1</v>
      </c>
      <c r="C1125" t="s">
        <v>501</v>
      </c>
      <c r="D1125" t="s">
        <v>6</v>
      </c>
      <c r="E1125" t="s">
        <v>138</v>
      </c>
      <c r="F1125" t="s">
        <v>319</v>
      </c>
      <c r="G1125">
        <v>18677</v>
      </c>
    </row>
    <row r="1126" spans="1:7" x14ac:dyDescent="0.35">
      <c r="A1126">
        <v>2025</v>
      </c>
      <c r="B1126">
        <v>1</v>
      </c>
      <c r="C1126" t="s">
        <v>501</v>
      </c>
      <c r="D1126" t="s">
        <v>62</v>
      </c>
      <c r="E1126" t="s">
        <v>288</v>
      </c>
      <c r="F1126" t="s">
        <v>470</v>
      </c>
      <c r="G1126">
        <v>34990</v>
      </c>
    </row>
    <row r="1127" spans="1:7" x14ac:dyDescent="0.35">
      <c r="A1127">
        <v>2025</v>
      </c>
      <c r="B1127">
        <v>1</v>
      </c>
      <c r="C1127" t="s">
        <v>501</v>
      </c>
      <c r="D1127" t="s">
        <v>62</v>
      </c>
      <c r="E1127" t="s">
        <v>139</v>
      </c>
      <c r="F1127" t="s">
        <v>320</v>
      </c>
      <c r="G1127">
        <v>66</v>
      </c>
    </row>
    <row r="1128" spans="1:7" x14ac:dyDescent="0.35">
      <c r="A1128">
        <v>2025</v>
      </c>
      <c r="B1128">
        <v>1</v>
      </c>
      <c r="C1128" t="s">
        <v>501</v>
      </c>
      <c r="D1128" t="s">
        <v>62</v>
      </c>
      <c r="E1128" t="s">
        <v>261</v>
      </c>
      <c r="F1128" t="s">
        <v>441</v>
      </c>
      <c r="G1128">
        <v>2440</v>
      </c>
    </row>
    <row r="1129" spans="1:7" x14ac:dyDescent="0.35">
      <c r="A1129">
        <v>2025</v>
      </c>
      <c r="B1129">
        <v>1</v>
      </c>
      <c r="C1129" t="s">
        <v>501</v>
      </c>
      <c r="D1129" t="s">
        <v>31</v>
      </c>
      <c r="E1129" t="s">
        <v>143</v>
      </c>
      <c r="F1129" t="s">
        <v>324</v>
      </c>
      <c r="G1129">
        <v>105005</v>
      </c>
    </row>
    <row r="1130" spans="1:7" x14ac:dyDescent="0.35">
      <c r="A1130">
        <v>2025</v>
      </c>
      <c r="B1130">
        <v>1</v>
      </c>
      <c r="C1130" t="s">
        <v>501</v>
      </c>
      <c r="D1130" t="s">
        <v>91</v>
      </c>
      <c r="E1130" t="s">
        <v>502</v>
      </c>
      <c r="F1130" t="s">
        <v>503</v>
      </c>
      <c r="G1130">
        <v>75000</v>
      </c>
    </row>
    <row r="1131" spans="1:7" x14ac:dyDescent="0.35">
      <c r="A1131">
        <v>2025</v>
      </c>
      <c r="B1131">
        <v>1</v>
      </c>
      <c r="C1131" t="s">
        <v>501</v>
      </c>
      <c r="D1131" t="s">
        <v>26</v>
      </c>
      <c r="E1131" t="s">
        <v>144</v>
      </c>
      <c r="F1131" t="s">
        <v>325</v>
      </c>
      <c r="G1131">
        <v>11567</v>
      </c>
    </row>
    <row r="1132" spans="1:7" x14ac:dyDescent="0.35">
      <c r="A1132">
        <v>2025</v>
      </c>
      <c r="B1132">
        <v>1</v>
      </c>
      <c r="C1132" t="s">
        <v>501</v>
      </c>
      <c r="D1132" t="s">
        <v>42</v>
      </c>
      <c r="E1132" t="s">
        <v>146</v>
      </c>
      <c r="F1132" t="s">
        <v>327</v>
      </c>
      <c r="G1132">
        <v>27861</v>
      </c>
    </row>
    <row r="1133" spans="1:7" x14ac:dyDescent="0.35">
      <c r="A1133">
        <v>2025</v>
      </c>
      <c r="B1133">
        <v>1</v>
      </c>
      <c r="C1133" t="s">
        <v>501</v>
      </c>
      <c r="D1133" t="s">
        <v>7</v>
      </c>
      <c r="E1133" t="s">
        <v>147</v>
      </c>
      <c r="F1133" t="s">
        <v>328</v>
      </c>
      <c r="G1133">
        <v>85591</v>
      </c>
    </row>
    <row r="1134" spans="1:7" x14ac:dyDescent="0.35">
      <c r="A1134">
        <v>2025</v>
      </c>
      <c r="B1134">
        <v>1</v>
      </c>
      <c r="C1134" t="s">
        <v>501</v>
      </c>
      <c r="D1134" t="s">
        <v>67</v>
      </c>
      <c r="E1134" t="s">
        <v>148</v>
      </c>
      <c r="F1134" t="s">
        <v>329</v>
      </c>
      <c r="G1134">
        <v>2792</v>
      </c>
    </row>
    <row r="1135" spans="1:7" x14ac:dyDescent="0.35">
      <c r="A1135">
        <v>2025</v>
      </c>
      <c r="B1135">
        <v>1</v>
      </c>
      <c r="C1135" t="s">
        <v>501</v>
      </c>
      <c r="D1135" t="s">
        <v>67</v>
      </c>
      <c r="E1135" t="s">
        <v>149</v>
      </c>
      <c r="F1135" t="s">
        <v>330</v>
      </c>
      <c r="G1135">
        <v>5999</v>
      </c>
    </row>
    <row r="1136" spans="1:7" x14ac:dyDescent="0.35">
      <c r="A1136">
        <v>2025</v>
      </c>
      <c r="B1136">
        <v>1</v>
      </c>
      <c r="C1136" t="s">
        <v>501</v>
      </c>
      <c r="D1136" t="s">
        <v>67</v>
      </c>
      <c r="E1136" t="s">
        <v>150</v>
      </c>
      <c r="F1136" t="s">
        <v>331</v>
      </c>
      <c r="G1136">
        <v>27687</v>
      </c>
    </row>
    <row r="1137" spans="1:7" x14ac:dyDescent="0.35">
      <c r="A1137">
        <v>2025</v>
      </c>
      <c r="B1137">
        <v>1</v>
      </c>
      <c r="C1137" t="s">
        <v>501</v>
      </c>
      <c r="D1137" t="s">
        <v>67</v>
      </c>
      <c r="E1137" t="s">
        <v>151</v>
      </c>
      <c r="F1137" t="s">
        <v>332</v>
      </c>
      <c r="G1137">
        <v>1074</v>
      </c>
    </row>
    <row r="1138" spans="1:7" x14ac:dyDescent="0.35">
      <c r="A1138">
        <v>2025</v>
      </c>
      <c r="B1138">
        <v>1</v>
      </c>
      <c r="C1138" t="s">
        <v>501</v>
      </c>
      <c r="D1138" t="s">
        <v>67</v>
      </c>
      <c r="E1138" t="s">
        <v>152</v>
      </c>
      <c r="F1138" t="s">
        <v>333</v>
      </c>
      <c r="G1138">
        <v>4623</v>
      </c>
    </row>
    <row r="1139" spans="1:7" x14ac:dyDescent="0.35">
      <c r="A1139">
        <v>2025</v>
      </c>
      <c r="B1139">
        <v>1</v>
      </c>
      <c r="C1139" t="s">
        <v>501</v>
      </c>
      <c r="D1139" t="s">
        <v>93</v>
      </c>
      <c r="E1139" t="s">
        <v>153</v>
      </c>
      <c r="F1139" t="s">
        <v>334</v>
      </c>
      <c r="G1139">
        <v>63455.81</v>
      </c>
    </row>
    <row r="1140" spans="1:7" x14ac:dyDescent="0.35">
      <c r="A1140">
        <v>2025</v>
      </c>
      <c r="B1140">
        <v>1</v>
      </c>
      <c r="C1140" t="s">
        <v>501</v>
      </c>
      <c r="D1140" t="s">
        <v>93</v>
      </c>
      <c r="E1140" t="s">
        <v>154</v>
      </c>
      <c r="F1140" t="s">
        <v>335</v>
      </c>
      <c r="G1140">
        <v>15395.9</v>
      </c>
    </row>
    <row r="1141" spans="1:7" x14ac:dyDescent="0.35">
      <c r="A1141">
        <v>2025</v>
      </c>
      <c r="B1141">
        <v>1</v>
      </c>
      <c r="C1141" t="s">
        <v>501</v>
      </c>
      <c r="D1141" t="s">
        <v>89</v>
      </c>
      <c r="E1141" t="s">
        <v>155</v>
      </c>
      <c r="F1141" t="s">
        <v>336</v>
      </c>
      <c r="G1141">
        <v>-15598.79</v>
      </c>
    </row>
    <row r="1142" spans="1:7" x14ac:dyDescent="0.35">
      <c r="A1142">
        <v>2025</v>
      </c>
      <c r="B1142">
        <v>1</v>
      </c>
      <c r="C1142" t="s">
        <v>501</v>
      </c>
      <c r="D1142" t="s">
        <v>89</v>
      </c>
      <c r="E1142" t="s">
        <v>156</v>
      </c>
      <c r="F1142" t="s">
        <v>337</v>
      </c>
      <c r="G1142">
        <v>75031.45</v>
      </c>
    </row>
    <row r="1143" spans="1:7" x14ac:dyDescent="0.35">
      <c r="A1143">
        <v>2025</v>
      </c>
      <c r="B1143">
        <v>1</v>
      </c>
      <c r="C1143" t="s">
        <v>501</v>
      </c>
      <c r="D1143" t="s">
        <v>61</v>
      </c>
      <c r="E1143" t="s">
        <v>262</v>
      </c>
      <c r="F1143" t="s">
        <v>442</v>
      </c>
      <c r="G1143">
        <v>12548</v>
      </c>
    </row>
    <row r="1144" spans="1:7" x14ac:dyDescent="0.35">
      <c r="A1144">
        <v>2025</v>
      </c>
      <c r="B1144">
        <v>1</v>
      </c>
      <c r="C1144" t="s">
        <v>501</v>
      </c>
      <c r="D1144" t="s">
        <v>8</v>
      </c>
      <c r="E1144" t="s">
        <v>157</v>
      </c>
      <c r="F1144" t="s">
        <v>338</v>
      </c>
      <c r="G1144">
        <v>1340</v>
      </c>
    </row>
    <row r="1145" spans="1:7" x14ac:dyDescent="0.35">
      <c r="A1145">
        <v>2025</v>
      </c>
      <c r="B1145">
        <v>1</v>
      </c>
      <c r="C1145" t="s">
        <v>501</v>
      </c>
      <c r="D1145" t="s">
        <v>20</v>
      </c>
      <c r="E1145" t="s">
        <v>158</v>
      </c>
      <c r="F1145" t="s">
        <v>339</v>
      </c>
      <c r="G1145">
        <v>932884</v>
      </c>
    </row>
    <row r="1146" spans="1:7" x14ac:dyDescent="0.35">
      <c r="A1146">
        <v>2025</v>
      </c>
      <c r="B1146">
        <v>1</v>
      </c>
      <c r="C1146" t="s">
        <v>501</v>
      </c>
      <c r="D1146" t="s">
        <v>21</v>
      </c>
      <c r="E1146" t="s">
        <v>159</v>
      </c>
      <c r="F1146" t="s">
        <v>340</v>
      </c>
      <c r="G1146">
        <v>175690</v>
      </c>
    </row>
    <row r="1147" spans="1:7" x14ac:dyDescent="0.35">
      <c r="A1147">
        <v>2025</v>
      </c>
      <c r="B1147">
        <v>1</v>
      </c>
      <c r="C1147" t="s">
        <v>501</v>
      </c>
      <c r="D1147" t="s">
        <v>32</v>
      </c>
      <c r="E1147" t="s">
        <v>162</v>
      </c>
      <c r="F1147" t="s">
        <v>342</v>
      </c>
      <c r="G1147">
        <v>12957</v>
      </c>
    </row>
    <row r="1148" spans="1:7" x14ac:dyDescent="0.35">
      <c r="A1148">
        <v>2025</v>
      </c>
      <c r="B1148">
        <v>1</v>
      </c>
      <c r="C1148" t="s">
        <v>501</v>
      </c>
      <c r="D1148" t="s">
        <v>27</v>
      </c>
      <c r="E1148" t="s">
        <v>166</v>
      </c>
      <c r="F1148" t="s">
        <v>345</v>
      </c>
      <c r="G1148">
        <v>165253</v>
      </c>
    </row>
    <row r="1149" spans="1:7" x14ac:dyDescent="0.35">
      <c r="A1149">
        <v>2025</v>
      </c>
      <c r="B1149">
        <v>1</v>
      </c>
      <c r="C1149" t="s">
        <v>501</v>
      </c>
      <c r="D1149" t="s">
        <v>167</v>
      </c>
      <c r="E1149" t="s">
        <v>167</v>
      </c>
      <c r="F1149" t="s">
        <v>346</v>
      </c>
      <c r="G1149">
        <v>-3641525</v>
      </c>
    </row>
    <row r="1150" spans="1:7" x14ac:dyDescent="0.35">
      <c r="A1150">
        <v>2025</v>
      </c>
      <c r="B1150">
        <v>1</v>
      </c>
      <c r="C1150" t="s">
        <v>501</v>
      </c>
      <c r="D1150" t="s">
        <v>9</v>
      </c>
      <c r="E1150" t="s">
        <v>168</v>
      </c>
      <c r="F1150" t="s">
        <v>347</v>
      </c>
      <c r="G1150">
        <v>3980</v>
      </c>
    </row>
    <row r="1151" spans="1:7" x14ac:dyDescent="0.35">
      <c r="A1151">
        <v>2025</v>
      </c>
      <c r="B1151">
        <v>1</v>
      </c>
      <c r="C1151" t="s">
        <v>501</v>
      </c>
      <c r="D1151" t="s">
        <v>9</v>
      </c>
      <c r="E1151" t="s">
        <v>169</v>
      </c>
      <c r="F1151" t="s">
        <v>348</v>
      </c>
      <c r="G1151">
        <v>9550</v>
      </c>
    </row>
    <row r="1152" spans="1:7" x14ac:dyDescent="0.35">
      <c r="A1152">
        <v>2025</v>
      </c>
      <c r="B1152">
        <v>1</v>
      </c>
      <c r="C1152" t="s">
        <v>501</v>
      </c>
      <c r="D1152" t="s">
        <v>72</v>
      </c>
      <c r="E1152" t="s">
        <v>170</v>
      </c>
      <c r="F1152" t="s">
        <v>349</v>
      </c>
      <c r="G1152">
        <v>85723</v>
      </c>
    </row>
    <row r="1153" spans="1:7" x14ac:dyDescent="0.35">
      <c r="A1153">
        <v>2025</v>
      </c>
      <c r="B1153">
        <v>1</v>
      </c>
      <c r="C1153" t="s">
        <v>501</v>
      </c>
      <c r="D1153" t="s">
        <v>39</v>
      </c>
      <c r="E1153" t="s">
        <v>171</v>
      </c>
      <c r="F1153" t="s">
        <v>350</v>
      </c>
      <c r="G1153">
        <v>17550</v>
      </c>
    </row>
    <row r="1154" spans="1:7" x14ac:dyDescent="0.35">
      <c r="A1154">
        <v>2025</v>
      </c>
      <c r="B1154">
        <v>1</v>
      </c>
      <c r="C1154" t="s">
        <v>501</v>
      </c>
      <c r="D1154" t="s">
        <v>10</v>
      </c>
      <c r="E1154" t="s">
        <v>172</v>
      </c>
      <c r="F1154" t="s">
        <v>351</v>
      </c>
      <c r="G1154">
        <v>5771</v>
      </c>
    </row>
    <row r="1155" spans="1:7" x14ac:dyDescent="0.35">
      <c r="A1155">
        <v>2025</v>
      </c>
      <c r="B1155">
        <v>1</v>
      </c>
      <c r="C1155" t="s">
        <v>501</v>
      </c>
      <c r="D1155" t="s">
        <v>66</v>
      </c>
      <c r="E1155" t="s">
        <v>173</v>
      </c>
      <c r="F1155" t="s">
        <v>352</v>
      </c>
      <c r="G1155">
        <v>427318</v>
      </c>
    </row>
    <row r="1156" spans="1:7" x14ac:dyDescent="0.35">
      <c r="A1156">
        <v>2025</v>
      </c>
      <c r="B1156">
        <v>1</v>
      </c>
      <c r="C1156" t="s">
        <v>501</v>
      </c>
      <c r="D1156" t="s">
        <v>66</v>
      </c>
      <c r="E1156" t="s">
        <v>174</v>
      </c>
      <c r="F1156" t="s">
        <v>353</v>
      </c>
      <c r="G1156">
        <v>71718</v>
      </c>
    </row>
    <row r="1157" spans="1:7" x14ac:dyDescent="0.35">
      <c r="A1157">
        <v>2025</v>
      </c>
      <c r="B1157">
        <v>1</v>
      </c>
      <c r="C1157" t="s">
        <v>501</v>
      </c>
      <c r="D1157" t="s">
        <v>66</v>
      </c>
      <c r="E1157" t="s">
        <v>175</v>
      </c>
      <c r="F1157" t="s">
        <v>354</v>
      </c>
      <c r="G1157">
        <v>483</v>
      </c>
    </row>
    <row r="1158" spans="1:7" x14ac:dyDescent="0.35">
      <c r="A1158">
        <v>2025</v>
      </c>
      <c r="B1158">
        <v>1</v>
      </c>
      <c r="C1158" t="s">
        <v>501</v>
      </c>
      <c r="D1158" t="s">
        <v>66</v>
      </c>
      <c r="E1158" t="s">
        <v>176</v>
      </c>
      <c r="F1158" t="s">
        <v>355</v>
      </c>
      <c r="G1158">
        <v>43555</v>
      </c>
    </row>
    <row r="1159" spans="1:7" x14ac:dyDescent="0.35">
      <c r="A1159">
        <v>2025</v>
      </c>
      <c r="B1159">
        <v>1</v>
      </c>
      <c r="C1159" t="s">
        <v>501</v>
      </c>
      <c r="D1159" t="s">
        <v>66</v>
      </c>
      <c r="E1159" t="s">
        <v>177</v>
      </c>
      <c r="F1159" t="s">
        <v>356</v>
      </c>
      <c r="G1159">
        <v>59807</v>
      </c>
    </row>
    <row r="1160" spans="1:7" x14ac:dyDescent="0.35">
      <c r="A1160">
        <v>2025</v>
      </c>
      <c r="B1160">
        <v>1</v>
      </c>
      <c r="C1160" t="s">
        <v>501</v>
      </c>
      <c r="D1160" t="s">
        <v>66</v>
      </c>
      <c r="E1160" t="s">
        <v>178</v>
      </c>
      <c r="F1160" t="s">
        <v>357</v>
      </c>
      <c r="G1160">
        <v>6003</v>
      </c>
    </row>
    <row r="1161" spans="1:7" x14ac:dyDescent="0.35">
      <c r="A1161">
        <v>2025</v>
      </c>
      <c r="B1161">
        <v>1</v>
      </c>
      <c r="C1161" t="s">
        <v>501</v>
      </c>
      <c r="D1161" t="s">
        <v>11</v>
      </c>
      <c r="E1161" t="s">
        <v>179</v>
      </c>
      <c r="F1161" t="s">
        <v>180</v>
      </c>
      <c r="G1161">
        <v>496</v>
      </c>
    </row>
    <row r="1162" spans="1:7" x14ac:dyDescent="0.35">
      <c r="A1162">
        <v>2025</v>
      </c>
      <c r="B1162">
        <v>1</v>
      </c>
      <c r="C1162" t="s">
        <v>501</v>
      </c>
      <c r="D1162" t="s">
        <v>74</v>
      </c>
      <c r="E1162" t="s">
        <v>205</v>
      </c>
      <c r="F1162" t="s">
        <v>384</v>
      </c>
      <c r="G1162">
        <v>3693</v>
      </c>
    </row>
    <row r="1163" spans="1:7" x14ac:dyDescent="0.35">
      <c r="A1163">
        <v>2025</v>
      </c>
      <c r="B1163">
        <v>1</v>
      </c>
      <c r="C1163" t="s">
        <v>501</v>
      </c>
      <c r="D1163" t="s">
        <v>74</v>
      </c>
      <c r="E1163" t="s">
        <v>184</v>
      </c>
      <c r="F1163" t="s">
        <v>361</v>
      </c>
      <c r="G1163">
        <v>372</v>
      </c>
    </row>
    <row r="1164" spans="1:7" x14ac:dyDescent="0.35">
      <c r="A1164">
        <v>2025</v>
      </c>
      <c r="B1164">
        <v>1</v>
      </c>
      <c r="C1164" t="s">
        <v>501</v>
      </c>
      <c r="D1164" t="s">
        <v>74</v>
      </c>
      <c r="E1164" t="s">
        <v>268</v>
      </c>
      <c r="F1164" t="s">
        <v>448</v>
      </c>
      <c r="G1164">
        <v>148</v>
      </c>
    </row>
    <row r="1165" spans="1:7" x14ac:dyDescent="0.35">
      <c r="A1165">
        <v>2025</v>
      </c>
      <c r="B1165">
        <v>1</v>
      </c>
      <c r="C1165" t="s">
        <v>501</v>
      </c>
      <c r="D1165" t="s">
        <v>74</v>
      </c>
      <c r="E1165" t="s">
        <v>186</v>
      </c>
      <c r="F1165" t="s">
        <v>364</v>
      </c>
      <c r="G1165">
        <v>14011</v>
      </c>
    </row>
    <row r="1166" spans="1:7" x14ac:dyDescent="0.35">
      <c r="A1166">
        <v>2025</v>
      </c>
      <c r="B1166">
        <v>1</v>
      </c>
      <c r="C1166" t="s">
        <v>501</v>
      </c>
      <c r="D1166" t="s">
        <v>74</v>
      </c>
      <c r="E1166" t="s">
        <v>283</v>
      </c>
      <c r="F1166" t="s">
        <v>463</v>
      </c>
      <c r="G1166">
        <v>164</v>
      </c>
    </row>
    <row r="1167" spans="1:7" x14ac:dyDescent="0.35">
      <c r="A1167">
        <v>2025</v>
      </c>
      <c r="B1167">
        <v>1</v>
      </c>
      <c r="C1167" t="s">
        <v>501</v>
      </c>
      <c r="D1167" t="s">
        <v>85</v>
      </c>
      <c r="E1167" t="s">
        <v>188</v>
      </c>
      <c r="F1167" t="s">
        <v>366</v>
      </c>
      <c r="G1167">
        <v>1262157.96</v>
      </c>
    </row>
    <row r="1168" spans="1:7" x14ac:dyDescent="0.35">
      <c r="A1168">
        <v>2025</v>
      </c>
      <c r="B1168">
        <v>1</v>
      </c>
      <c r="C1168" t="s">
        <v>501</v>
      </c>
      <c r="D1168" t="s">
        <v>106</v>
      </c>
      <c r="E1168" t="s">
        <v>189</v>
      </c>
      <c r="F1168" t="s">
        <v>367</v>
      </c>
      <c r="G1168">
        <v>3068749</v>
      </c>
    </row>
    <row r="1169" spans="1:7" x14ac:dyDescent="0.35">
      <c r="A1169">
        <v>2025</v>
      </c>
      <c r="B1169">
        <v>1</v>
      </c>
      <c r="C1169" t="s">
        <v>501</v>
      </c>
      <c r="D1169" t="s">
        <v>106</v>
      </c>
      <c r="E1169" t="s">
        <v>190</v>
      </c>
      <c r="F1169" t="s">
        <v>368</v>
      </c>
      <c r="G1169">
        <v>105913</v>
      </c>
    </row>
    <row r="1170" spans="1:7" x14ac:dyDescent="0.35">
      <c r="A1170">
        <v>2025</v>
      </c>
      <c r="B1170">
        <v>1</v>
      </c>
      <c r="C1170" t="s">
        <v>501</v>
      </c>
      <c r="D1170" t="s">
        <v>106</v>
      </c>
      <c r="E1170" t="s">
        <v>191</v>
      </c>
      <c r="F1170" t="s">
        <v>369</v>
      </c>
      <c r="G1170">
        <v>742228</v>
      </c>
    </row>
    <row r="1171" spans="1:7" x14ac:dyDescent="0.35">
      <c r="A1171">
        <v>2025</v>
      </c>
      <c r="B1171">
        <v>1</v>
      </c>
      <c r="C1171" t="s">
        <v>501</v>
      </c>
      <c r="D1171" t="s">
        <v>106</v>
      </c>
      <c r="E1171" t="s">
        <v>192</v>
      </c>
      <c r="F1171" t="s">
        <v>370</v>
      </c>
      <c r="G1171">
        <v>269358</v>
      </c>
    </row>
    <row r="1172" spans="1:7" x14ac:dyDescent="0.35">
      <c r="A1172">
        <v>2025</v>
      </c>
      <c r="B1172">
        <v>1</v>
      </c>
      <c r="C1172" t="s">
        <v>501</v>
      </c>
      <c r="D1172" t="s">
        <v>106</v>
      </c>
      <c r="E1172" t="s">
        <v>193</v>
      </c>
      <c r="F1172" t="s">
        <v>371</v>
      </c>
      <c r="G1172">
        <v>28800</v>
      </c>
    </row>
    <row r="1173" spans="1:7" x14ac:dyDescent="0.35">
      <c r="A1173">
        <v>2025</v>
      </c>
      <c r="B1173">
        <v>1</v>
      </c>
      <c r="C1173" t="s">
        <v>501</v>
      </c>
      <c r="D1173" t="s">
        <v>106</v>
      </c>
      <c r="E1173" t="s">
        <v>194</v>
      </c>
      <c r="F1173" t="s">
        <v>372</v>
      </c>
      <c r="G1173">
        <v>27000</v>
      </c>
    </row>
    <row r="1174" spans="1:7" x14ac:dyDescent="0.35">
      <c r="A1174">
        <v>2025</v>
      </c>
      <c r="B1174">
        <v>1</v>
      </c>
      <c r="C1174" t="s">
        <v>501</v>
      </c>
      <c r="D1174" t="s">
        <v>106</v>
      </c>
      <c r="E1174" t="s">
        <v>195</v>
      </c>
      <c r="F1174" t="s">
        <v>373</v>
      </c>
      <c r="G1174">
        <v>113913</v>
      </c>
    </row>
    <row r="1175" spans="1:7" x14ac:dyDescent="0.35">
      <c r="A1175">
        <v>2025</v>
      </c>
      <c r="B1175">
        <v>1</v>
      </c>
      <c r="C1175" t="s">
        <v>501</v>
      </c>
      <c r="D1175" t="s">
        <v>23</v>
      </c>
      <c r="E1175" t="s">
        <v>206</v>
      </c>
      <c r="F1175" t="s">
        <v>385</v>
      </c>
      <c r="G1175">
        <v>7982</v>
      </c>
    </row>
    <row r="1176" spans="1:7" x14ac:dyDescent="0.35">
      <c r="A1176">
        <v>2025</v>
      </c>
      <c r="B1176">
        <v>1</v>
      </c>
      <c r="C1176" t="s">
        <v>501</v>
      </c>
      <c r="D1176" t="s">
        <v>24</v>
      </c>
      <c r="E1176" t="s">
        <v>207</v>
      </c>
      <c r="F1176" t="s">
        <v>386</v>
      </c>
      <c r="G1176">
        <v>87775</v>
      </c>
    </row>
    <row r="1177" spans="1:7" x14ac:dyDescent="0.35">
      <c r="A1177">
        <v>2025</v>
      </c>
      <c r="B1177">
        <v>1</v>
      </c>
      <c r="C1177" t="s">
        <v>501</v>
      </c>
      <c r="D1177" t="s">
        <v>114</v>
      </c>
      <c r="E1177" t="s">
        <v>295</v>
      </c>
      <c r="F1177" t="s">
        <v>479</v>
      </c>
      <c r="G1177">
        <v>2849</v>
      </c>
    </row>
    <row r="1178" spans="1:7" x14ac:dyDescent="0.35">
      <c r="A1178">
        <v>2025</v>
      </c>
      <c r="B1178">
        <v>1</v>
      </c>
      <c r="C1178" t="s">
        <v>501</v>
      </c>
      <c r="D1178" t="s">
        <v>519</v>
      </c>
      <c r="E1178" t="s">
        <v>202</v>
      </c>
      <c r="F1178" t="s">
        <v>380</v>
      </c>
      <c r="G1178">
        <v>2600</v>
      </c>
    </row>
    <row r="1179" spans="1:7" x14ac:dyDescent="0.35">
      <c r="A1179">
        <v>2025</v>
      </c>
      <c r="B1179">
        <v>1</v>
      </c>
      <c r="C1179" t="s">
        <v>501</v>
      </c>
      <c r="D1179" t="s">
        <v>519</v>
      </c>
      <c r="E1179" t="s">
        <v>203</v>
      </c>
      <c r="F1179" t="s">
        <v>381</v>
      </c>
      <c r="G1179">
        <v>9677.5400000000009</v>
      </c>
    </row>
    <row r="1180" spans="1:7" x14ac:dyDescent="0.35">
      <c r="A1180">
        <v>2025</v>
      </c>
      <c r="B1180">
        <v>1</v>
      </c>
      <c r="C1180" t="s">
        <v>501</v>
      </c>
      <c r="D1180" t="s">
        <v>519</v>
      </c>
      <c r="E1180" t="s">
        <v>196</v>
      </c>
      <c r="F1180" t="s">
        <v>382</v>
      </c>
      <c r="G1180">
        <v>2.76</v>
      </c>
    </row>
    <row r="1181" spans="1:7" x14ac:dyDescent="0.35">
      <c r="A1181">
        <v>2025</v>
      </c>
      <c r="B1181">
        <v>1</v>
      </c>
      <c r="C1181" t="s">
        <v>501</v>
      </c>
      <c r="D1181" t="s">
        <v>520</v>
      </c>
      <c r="E1181" t="s">
        <v>208</v>
      </c>
      <c r="F1181" t="s">
        <v>387</v>
      </c>
      <c r="G1181">
        <v>5</v>
      </c>
    </row>
    <row r="1182" spans="1:7" x14ac:dyDescent="0.35">
      <c r="A1182">
        <v>2025</v>
      </c>
      <c r="B1182">
        <v>1</v>
      </c>
      <c r="C1182" t="s">
        <v>501</v>
      </c>
      <c r="D1182" t="s">
        <v>520</v>
      </c>
      <c r="E1182" t="s">
        <v>134</v>
      </c>
      <c r="F1182" t="s">
        <v>315</v>
      </c>
      <c r="G1182">
        <v>8372</v>
      </c>
    </row>
    <row r="1183" spans="1:7" x14ac:dyDescent="0.35">
      <c r="A1183">
        <v>2025</v>
      </c>
      <c r="B1183">
        <v>1</v>
      </c>
      <c r="C1183" t="s">
        <v>501</v>
      </c>
      <c r="D1183" t="s">
        <v>520</v>
      </c>
      <c r="E1183" t="s">
        <v>196</v>
      </c>
      <c r="F1183" t="s">
        <v>374</v>
      </c>
      <c r="G1183">
        <v>7</v>
      </c>
    </row>
    <row r="1184" spans="1:7" x14ac:dyDescent="0.35">
      <c r="A1184">
        <v>2025</v>
      </c>
      <c r="B1184">
        <v>1</v>
      </c>
      <c r="C1184" t="s">
        <v>501</v>
      </c>
      <c r="D1184" t="s">
        <v>520</v>
      </c>
      <c r="E1184" t="s">
        <v>198</v>
      </c>
      <c r="F1184" t="s">
        <v>376</v>
      </c>
      <c r="G1184">
        <v>1792</v>
      </c>
    </row>
    <row r="1185" spans="1:7" x14ac:dyDescent="0.35">
      <c r="A1185">
        <v>2025</v>
      </c>
      <c r="B1185">
        <v>1</v>
      </c>
      <c r="C1185" t="s">
        <v>501</v>
      </c>
      <c r="D1185" t="s">
        <v>520</v>
      </c>
      <c r="E1185" t="s">
        <v>200</v>
      </c>
      <c r="F1185" t="s">
        <v>378</v>
      </c>
      <c r="G1185">
        <v>2951</v>
      </c>
    </row>
    <row r="1186" spans="1:7" x14ac:dyDescent="0.35">
      <c r="A1186">
        <v>2025</v>
      </c>
      <c r="B1186">
        <v>1</v>
      </c>
      <c r="C1186" t="s">
        <v>501</v>
      </c>
      <c r="D1186" t="s">
        <v>520</v>
      </c>
      <c r="E1186" t="s">
        <v>201</v>
      </c>
      <c r="F1186" t="s">
        <v>379</v>
      </c>
      <c r="G1186">
        <v>37524</v>
      </c>
    </row>
    <row r="1187" spans="1:7" x14ac:dyDescent="0.35">
      <c r="A1187">
        <v>2025</v>
      </c>
      <c r="B1187">
        <v>1</v>
      </c>
      <c r="C1187" t="s">
        <v>501</v>
      </c>
      <c r="D1187" t="s">
        <v>12</v>
      </c>
      <c r="E1187" t="s">
        <v>210</v>
      </c>
      <c r="F1187" t="s">
        <v>389</v>
      </c>
      <c r="G1187">
        <v>2563</v>
      </c>
    </row>
    <row r="1188" spans="1:7" x14ac:dyDescent="0.35">
      <c r="A1188">
        <v>2025</v>
      </c>
      <c r="B1188">
        <v>1</v>
      </c>
      <c r="C1188" t="s">
        <v>501</v>
      </c>
      <c r="D1188" t="s">
        <v>12</v>
      </c>
      <c r="E1188" t="s">
        <v>211</v>
      </c>
      <c r="F1188" t="s">
        <v>390</v>
      </c>
      <c r="G1188">
        <v>474</v>
      </c>
    </row>
    <row r="1189" spans="1:7" x14ac:dyDescent="0.35">
      <c r="A1189">
        <v>2025</v>
      </c>
      <c r="B1189">
        <v>1</v>
      </c>
      <c r="C1189" t="s">
        <v>501</v>
      </c>
      <c r="D1189" t="s">
        <v>12</v>
      </c>
      <c r="E1189" t="s">
        <v>212</v>
      </c>
      <c r="F1189" t="s">
        <v>391</v>
      </c>
      <c r="G1189">
        <v>8170</v>
      </c>
    </row>
    <row r="1190" spans="1:7" x14ac:dyDescent="0.35">
      <c r="A1190">
        <v>2025</v>
      </c>
      <c r="B1190">
        <v>1</v>
      </c>
      <c r="C1190" t="s">
        <v>501</v>
      </c>
      <c r="D1190" t="s">
        <v>12</v>
      </c>
      <c r="E1190" t="s">
        <v>213</v>
      </c>
      <c r="F1190" t="s">
        <v>392</v>
      </c>
      <c r="G1190">
        <v>9108</v>
      </c>
    </row>
    <row r="1191" spans="1:7" x14ac:dyDescent="0.35">
      <c r="A1191">
        <v>2025</v>
      </c>
      <c r="B1191">
        <v>1</v>
      </c>
      <c r="C1191" t="s">
        <v>501</v>
      </c>
      <c r="D1191" t="s">
        <v>12</v>
      </c>
      <c r="E1191" t="s">
        <v>214</v>
      </c>
      <c r="F1191" t="s">
        <v>394</v>
      </c>
      <c r="G1191">
        <v>2982</v>
      </c>
    </row>
    <row r="1192" spans="1:7" x14ac:dyDescent="0.35">
      <c r="A1192">
        <v>2025</v>
      </c>
      <c r="B1192">
        <v>1</v>
      </c>
      <c r="C1192" t="s">
        <v>501</v>
      </c>
      <c r="D1192" t="s">
        <v>12</v>
      </c>
      <c r="E1192" t="s">
        <v>215</v>
      </c>
      <c r="F1192" t="s">
        <v>395</v>
      </c>
      <c r="G1192">
        <v>2378</v>
      </c>
    </row>
    <row r="1193" spans="1:7" x14ac:dyDescent="0.35">
      <c r="A1193">
        <v>2025</v>
      </c>
      <c r="B1193">
        <v>1</v>
      </c>
      <c r="C1193" t="s">
        <v>501</v>
      </c>
      <c r="D1193" t="s">
        <v>12</v>
      </c>
      <c r="E1193" t="s">
        <v>216</v>
      </c>
      <c r="F1193" t="s">
        <v>396</v>
      </c>
      <c r="G1193">
        <v>8442</v>
      </c>
    </row>
    <row r="1194" spans="1:7" x14ac:dyDescent="0.35">
      <c r="A1194">
        <v>2025</v>
      </c>
      <c r="B1194">
        <v>1</v>
      </c>
      <c r="C1194" t="s">
        <v>501</v>
      </c>
      <c r="D1194" t="s">
        <v>12</v>
      </c>
      <c r="E1194" t="s">
        <v>217</v>
      </c>
      <c r="F1194" t="s">
        <v>397</v>
      </c>
      <c r="G1194">
        <v>2545</v>
      </c>
    </row>
    <row r="1195" spans="1:7" x14ac:dyDescent="0.35">
      <c r="A1195">
        <v>2025</v>
      </c>
      <c r="B1195">
        <v>1</v>
      </c>
      <c r="C1195" t="s">
        <v>501</v>
      </c>
      <c r="D1195" t="s">
        <v>12</v>
      </c>
      <c r="E1195" t="s">
        <v>218</v>
      </c>
      <c r="F1195" t="s">
        <v>398</v>
      </c>
      <c r="G1195">
        <v>7305</v>
      </c>
    </row>
    <row r="1196" spans="1:7" x14ac:dyDescent="0.35">
      <c r="A1196">
        <v>2025</v>
      </c>
      <c r="B1196">
        <v>1</v>
      </c>
      <c r="C1196" t="s">
        <v>501</v>
      </c>
      <c r="D1196" t="s">
        <v>12</v>
      </c>
      <c r="E1196" t="s">
        <v>219</v>
      </c>
      <c r="F1196" t="s">
        <v>399</v>
      </c>
      <c r="G1196">
        <v>3073</v>
      </c>
    </row>
    <row r="1197" spans="1:7" x14ac:dyDescent="0.35">
      <c r="A1197">
        <v>2025</v>
      </c>
      <c r="B1197">
        <v>1</v>
      </c>
      <c r="C1197" t="s">
        <v>501</v>
      </c>
      <c r="D1197" t="s">
        <v>12</v>
      </c>
      <c r="E1197" t="s">
        <v>220</v>
      </c>
      <c r="F1197" t="s">
        <v>400</v>
      </c>
      <c r="G1197">
        <v>4406</v>
      </c>
    </row>
    <row r="1198" spans="1:7" x14ac:dyDescent="0.35">
      <c r="A1198">
        <v>2025</v>
      </c>
      <c r="B1198">
        <v>1</v>
      </c>
      <c r="C1198" t="s">
        <v>501</v>
      </c>
      <c r="D1198" t="s">
        <v>12</v>
      </c>
      <c r="E1198" t="s">
        <v>221</v>
      </c>
      <c r="F1198" t="s">
        <v>401</v>
      </c>
      <c r="G1198">
        <v>3519</v>
      </c>
    </row>
    <row r="1199" spans="1:7" x14ac:dyDescent="0.35">
      <c r="A1199">
        <v>2025</v>
      </c>
      <c r="B1199">
        <v>1</v>
      </c>
      <c r="C1199" t="s">
        <v>501</v>
      </c>
      <c r="D1199" t="s">
        <v>12</v>
      </c>
      <c r="E1199" t="s">
        <v>222</v>
      </c>
      <c r="F1199" t="s">
        <v>402</v>
      </c>
      <c r="G1199">
        <v>3060</v>
      </c>
    </row>
    <row r="1200" spans="1:7" x14ac:dyDescent="0.35">
      <c r="A1200">
        <v>2025</v>
      </c>
      <c r="B1200">
        <v>1</v>
      </c>
      <c r="C1200" t="s">
        <v>501</v>
      </c>
      <c r="D1200" t="s">
        <v>28</v>
      </c>
      <c r="E1200" t="s">
        <v>223</v>
      </c>
      <c r="F1200" t="s">
        <v>403</v>
      </c>
      <c r="G1200">
        <v>19562</v>
      </c>
    </row>
    <row r="1201" spans="1:7" x14ac:dyDescent="0.35">
      <c r="A1201">
        <v>2025</v>
      </c>
      <c r="B1201">
        <v>1</v>
      </c>
      <c r="C1201" t="s">
        <v>501</v>
      </c>
      <c r="D1201" t="s">
        <v>28</v>
      </c>
      <c r="E1201" t="s">
        <v>224</v>
      </c>
      <c r="F1201" t="s">
        <v>404</v>
      </c>
      <c r="G1201">
        <v>49651</v>
      </c>
    </row>
    <row r="1202" spans="1:7" x14ac:dyDescent="0.35">
      <c r="A1202">
        <v>2025</v>
      </c>
      <c r="B1202">
        <v>1</v>
      </c>
      <c r="C1202" t="s">
        <v>501</v>
      </c>
      <c r="D1202" t="s">
        <v>92</v>
      </c>
      <c r="E1202" t="s">
        <v>494</v>
      </c>
      <c r="F1202" t="s">
        <v>495</v>
      </c>
      <c r="G1202">
        <v>8000</v>
      </c>
    </row>
    <row r="1203" spans="1:7" x14ac:dyDescent="0.35">
      <c r="A1203">
        <v>2025</v>
      </c>
      <c r="B1203">
        <v>1</v>
      </c>
      <c r="C1203" t="s">
        <v>501</v>
      </c>
      <c r="D1203" t="s">
        <v>64</v>
      </c>
      <c r="E1203" t="s">
        <v>225</v>
      </c>
      <c r="F1203" t="s">
        <v>405</v>
      </c>
      <c r="G1203">
        <v>6520</v>
      </c>
    </row>
    <row r="1204" spans="1:7" x14ac:dyDescent="0.35">
      <c r="A1204">
        <v>2025</v>
      </c>
      <c r="B1204">
        <v>1</v>
      </c>
      <c r="C1204" t="s">
        <v>501</v>
      </c>
      <c r="D1204" t="s">
        <v>29</v>
      </c>
      <c r="E1204" t="s">
        <v>226</v>
      </c>
      <c r="F1204" t="s">
        <v>406</v>
      </c>
      <c r="G1204">
        <v>560</v>
      </c>
    </row>
    <row r="1205" spans="1:7" x14ac:dyDescent="0.35">
      <c r="A1205">
        <v>2025</v>
      </c>
      <c r="B1205">
        <v>1</v>
      </c>
      <c r="C1205" t="s">
        <v>501</v>
      </c>
      <c r="D1205" t="s">
        <v>102</v>
      </c>
      <c r="E1205" t="s">
        <v>227</v>
      </c>
      <c r="F1205" t="s">
        <v>407</v>
      </c>
      <c r="G1205">
        <v>39577</v>
      </c>
    </row>
    <row r="1206" spans="1:7" x14ac:dyDescent="0.35">
      <c r="A1206">
        <v>2025</v>
      </c>
      <c r="B1206">
        <v>1</v>
      </c>
      <c r="C1206" t="s">
        <v>501</v>
      </c>
      <c r="D1206" t="s">
        <v>25</v>
      </c>
      <c r="E1206" t="s">
        <v>274</v>
      </c>
      <c r="F1206" t="s">
        <v>454</v>
      </c>
      <c r="G1206">
        <v>39000</v>
      </c>
    </row>
    <row r="1207" spans="1:7" x14ac:dyDescent="0.35">
      <c r="A1207">
        <v>2025</v>
      </c>
      <c r="B1207">
        <v>1</v>
      </c>
      <c r="C1207" t="s">
        <v>501</v>
      </c>
      <c r="D1207" t="s">
        <v>229</v>
      </c>
      <c r="E1207" t="s">
        <v>230</v>
      </c>
      <c r="F1207" t="s">
        <v>409</v>
      </c>
      <c r="G1207">
        <v>51533</v>
      </c>
    </row>
    <row r="1208" spans="1:7" x14ac:dyDescent="0.35">
      <c r="A1208">
        <v>2025</v>
      </c>
      <c r="B1208">
        <v>1</v>
      </c>
      <c r="C1208" t="s">
        <v>501</v>
      </c>
      <c r="D1208" t="s">
        <v>13</v>
      </c>
      <c r="E1208" t="s">
        <v>232</v>
      </c>
      <c r="F1208" t="s">
        <v>411</v>
      </c>
      <c r="G1208">
        <v>251</v>
      </c>
    </row>
    <row r="1209" spans="1:7" x14ac:dyDescent="0.35">
      <c r="A1209">
        <v>2025</v>
      </c>
      <c r="B1209">
        <v>1</v>
      </c>
      <c r="C1209" t="s">
        <v>501</v>
      </c>
      <c r="D1209" t="s">
        <v>94</v>
      </c>
      <c r="E1209" t="s">
        <v>233</v>
      </c>
      <c r="F1209" t="s">
        <v>412</v>
      </c>
      <c r="G1209">
        <v>30300</v>
      </c>
    </row>
    <row r="1210" spans="1:7" x14ac:dyDescent="0.35">
      <c r="A1210">
        <v>2025</v>
      </c>
      <c r="B1210">
        <v>1</v>
      </c>
      <c r="C1210" t="s">
        <v>501</v>
      </c>
      <c r="D1210" t="s">
        <v>40</v>
      </c>
      <c r="E1210" t="s">
        <v>235</v>
      </c>
      <c r="F1210" t="s">
        <v>414</v>
      </c>
      <c r="G1210">
        <v>2015</v>
      </c>
    </row>
    <row r="1211" spans="1:7" x14ac:dyDescent="0.35">
      <c r="A1211">
        <v>2025</v>
      </c>
      <c r="B1211">
        <v>1</v>
      </c>
      <c r="C1211" t="s">
        <v>501</v>
      </c>
      <c r="D1211" t="s">
        <v>45</v>
      </c>
      <c r="E1211" t="s">
        <v>276</v>
      </c>
      <c r="F1211" t="s">
        <v>456</v>
      </c>
      <c r="G1211">
        <v>42965</v>
      </c>
    </row>
    <row r="1212" spans="1:7" x14ac:dyDescent="0.35">
      <c r="A1212">
        <v>2025</v>
      </c>
      <c r="B1212">
        <v>1</v>
      </c>
      <c r="C1212" t="s">
        <v>501</v>
      </c>
      <c r="D1212" t="s">
        <v>76</v>
      </c>
      <c r="E1212" t="s">
        <v>236</v>
      </c>
      <c r="F1212" t="s">
        <v>415</v>
      </c>
      <c r="G1212">
        <v>-3641525</v>
      </c>
    </row>
    <row r="1213" spans="1:7" x14ac:dyDescent="0.35">
      <c r="A1213">
        <v>2025</v>
      </c>
      <c r="B1213">
        <v>1</v>
      </c>
      <c r="C1213" t="s">
        <v>501</v>
      </c>
      <c r="D1213" t="s">
        <v>76</v>
      </c>
      <c r="E1213" t="s">
        <v>237</v>
      </c>
      <c r="F1213" t="s">
        <v>416</v>
      </c>
      <c r="G1213">
        <v>61502.36</v>
      </c>
    </row>
    <row r="1214" spans="1:7" x14ac:dyDescent="0.35">
      <c r="A1214">
        <v>2025</v>
      </c>
      <c r="B1214">
        <v>1</v>
      </c>
      <c r="C1214" t="s">
        <v>501</v>
      </c>
      <c r="D1214" t="s">
        <v>76</v>
      </c>
      <c r="E1214" t="s">
        <v>238</v>
      </c>
      <c r="F1214" t="s">
        <v>417</v>
      </c>
      <c r="G1214">
        <v>273298</v>
      </c>
    </row>
    <row r="1215" spans="1:7" x14ac:dyDescent="0.35">
      <c r="A1215">
        <v>2025</v>
      </c>
      <c r="B1215">
        <v>1</v>
      </c>
      <c r="C1215" t="s">
        <v>501</v>
      </c>
      <c r="D1215" t="s">
        <v>76</v>
      </c>
      <c r="E1215" t="s">
        <v>239</v>
      </c>
      <c r="F1215" t="s">
        <v>418</v>
      </c>
      <c r="G1215">
        <v>1476413.21</v>
      </c>
    </row>
    <row r="1216" spans="1:7" x14ac:dyDescent="0.35">
      <c r="A1216">
        <v>2025</v>
      </c>
      <c r="B1216">
        <v>1</v>
      </c>
      <c r="C1216" t="s">
        <v>501</v>
      </c>
      <c r="D1216" t="s">
        <v>35</v>
      </c>
      <c r="E1216" t="s">
        <v>240</v>
      </c>
      <c r="F1216" t="s">
        <v>419</v>
      </c>
      <c r="G1216">
        <v>167536.35999999999</v>
      </c>
    </row>
    <row r="1217" spans="1:7" x14ac:dyDescent="0.35">
      <c r="A1217">
        <v>2025</v>
      </c>
      <c r="B1217">
        <v>1</v>
      </c>
      <c r="C1217" t="s">
        <v>501</v>
      </c>
      <c r="D1217" t="s">
        <v>103</v>
      </c>
      <c r="E1217" t="s">
        <v>242</v>
      </c>
      <c r="F1217" t="s">
        <v>421</v>
      </c>
      <c r="G1217">
        <v>273298</v>
      </c>
    </row>
    <row r="1218" spans="1:7" x14ac:dyDescent="0.35">
      <c r="A1218">
        <v>2025</v>
      </c>
      <c r="B1218">
        <v>1</v>
      </c>
      <c r="C1218" t="s">
        <v>501</v>
      </c>
      <c r="D1218" t="s">
        <v>104</v>
      </c>
      <c r="E1218" t="s">
        <v>243</v>
      </c>
      <c r="F1218" t="s">
        <v>422</v>
      </c>
      <c r="G1218">
        <v>1476413</v>
      </c>
    </row>
    <row r="1219" spans="1:7" x14ac:dyDescent="0.35">
      <c r="A1219">
        <v>2025</v>
      </c>
      <c r="B1219">
        <v>1</v>
      </c>
      <c r="C1219" t="s">
        <v>501</v>
      </c>
      <c r="D1219" t="s">
        <v>244</v>
      </c>
      <c r="E1219" t="s">
        <v>245</v>
      </c>
      <c r="F1219" t="s">
        <v>423</v>
      </c>
      <c r="G1219">
        <v>-636953</v>
      </c>
    </row>
    <row r="1220" spans="1:7" x14ac:dyDescent="0.35">
      <c r="A1220">
        <v>2025</v>
      </c>
      <c r="B1220">
        <v>1</v>
      </c>
      <c r="C1220" t="s">
        <v>501</v>
      </c>
      <c r="D1220" t="s">
        <v>14</v>
      </c>
      <c r="E1220" t="s">
        <v>131</v>
      </c>
      <c r="F1220" t="s">
        <v>425</v>
      </c>
      <c r="G1220">
        <v>141151</v>
      </c>
    </row>
    <row r="1221" spans="1:7" x14ac:dyDescent="0.35">
      <c r="A1221">
        <v>2025</v>
      </c>
      <c r="B1221">
        <v>1</v>
      </c>
      <c r="C1221" t="s">
        <v>501</v>
      </c>
      <c r="D1221" t="s">
        <v>15</v>
      </c>
      <c r="E1221" t="s">
        <v>248</v>
      </c>
      <c r="F1221" t="s">
        <v>427</v>
      </c>
      <c r="G1221">
        <v>30220</v>
      </c>
    </row>
    <row r="1222" spans="1:7" x14ac:dyDescent="0.35">
      <c r="A1222">
        <v>2025</v>
      </c>
      <c r="B1222">
        <v>1</v>
      </c>
      <c r="C1222" t="s">
        <v>501</v>
      </c>
      <c r="D1222" t="s">
        <v>52</v>
      </c>
      <c r="E1222" t="s">
        <v>303</v>
      </c>
      <c r="F1222" t="s">
        <v>483</v>
      </c>
      <c r="G1222">
        <v>965</v>
      </c>
    </row>
    <row r="1223" spans="1:7" x14ac:dyDescent="0.35">
      <c r="A1223">
        <v>2025</v>
      </c>
      <c r="B1223">
        <v>1</v>
      </c>
      <c r="C1223" t="s">
        <v>501</v>
      </c>
      <c r="D1223" t="s">
        <v>90</v>
      </c>
      <c r="E1223" t="s">
        <v>249</v>
      </c>
      <c r="F1223" t="s">
        <v>428</v>
      </c>
      <c r="G1223">
        <v>4860</v>
      </c>
    </row>
    <row r="1224" spans="1:7" x14ac:dyDescent="0.35">
      <c r="A1224">
        <v>2025</v>
      </c>
      <c r="B1224">
        <v>1</v>
      </c>
      <c r="C1224" t="s">
        <v>501</v>
      </c>
      <c r="D1224" t="s">
        <v>84</v>
      </c>
      <c r="E1224" t="s">
        <v>250</v>
      </c>
      <c r="F1224" t="s">
        <v>429</v>
      </c>
      <c r="G1224">
        <v>1472828.98</v>
      </c>
    </row>
    <row r="1225" spans="1:7" x14ac:dyDescent="0.35">
      <c r="A1225">
        <v>2025</v>
      </c>
      <c r="B1225">
        <v>1</v>
      </c>
      <c r="C1225" t="s">
        <v>501</v>
      </c>
      <c r="D1225" t="s">
        <v>81</v>
      </c>
      <c r="E1225" t="s">
        <v>251</v>
      </c>
      <c r="F1225" t="s">
        <v>430</v>
      </c>
      <c r="G1225">
        <v>2684418</v>
      </c>
    </row>
    <row r="1226" spans="1:7" x14ac:dyDescent="0.35">
      <c r="A1226">
        <v>2025</v>
      </c>
      <c r="B1226">
        <v>1</v>
      </c>
      <c r="C1226" t="s">
        <v>501</v>
      </c>
      <c r="D1226" t="s">
        <v>81</v>
      </c>
      <c r="E1226" t="s">
        <v>252</v>
      </c>
      <c r="F1226" t="s">
        <v>431</v>
      </c>
      <c r="G1226">
        <v>3851850.28</v>
      </c>
    </row>
    <row r="1227" spans="1:7" x14ac:dyDescent="0.35">
      <c r="A1227">
        <v>2025</v>
      </c>
      <c r="B1227">
        <v>1</v>
      </c>
      <c r="C1227" t="s">
        <v>501</v>
      </c>
      <c r="D1227" t="s">
        <v>81</v>
      </c>
      <c r="E1227" t="s">
        <v>289</v>
      </c>
      <c r="F1227" t="s">
        <v>471</v>
      </c>
      <c r="G1227">
        <v>2947000</v>
      </c>
    </row>
    <row r="1228" spans="1:7" x14ac:dyDescent="0.35">
      <c r="A1228">
        <v>2025</v>
      </c>
      <c r="B1228">
        <v>1</v>
      </c>
      <c r="C1228" t="s">
        <v>501</v>
      </c>
      <c r="D1228" t="s">
        <v>81</v>
      </c>
      <c r="E1228" t="s">
        <v>304</v>
      </c>
      <c r="F1228" t="s">
        <v>484</v>
      </c>
      <c r="G1228">
        <v>9566.5</v>
      </c>
    </row>
    <row r="1229" spans="1:7" x14ac:dyDescent="0.35">
      <c r="A1229">
        <v>2025</v>
      </c>
      <c r="B1229">
        <v>1</v>
      </c>
      <c r="C1229" t="s">
        <v>501</v>
      </c>
      <c r="D1229" t="s">
        <v>44</v>
      </c>
      <c r="E1229" t="s">
        <v>253</v>
      </c>
      <c r="F1229" t="s">
        <v>432</v>
      </c>
      <c r="G1229">
        <v>82080</v>
      </c>
    </row>
    <row r="1230" spans="1:7" x14ac:dyDescent="0.35">
      <c r="A1230">
        <v>2025</v>
      </c>
      <c r="B1230">
        <v>1</v>
      </c>
      <c r="C1230" t="s">
        <v>501</v>
      </c>
      <c r="D1230" t="s">
        <v>16</v>
      </c>
      <c r="E1230" t="s">
        <v>254</v>
      </c>
      <c r="F1230" t="s">
        <v>433</v>
      </c>
      <c r="G1230">
        <v>15012</v>
      </c>
    </row>
    <row r="1231" spans="1:7" x14ac:dyDescent="0.35">
      <c r="A1231">
        <v>2025</v>
      </c>
      <c r="B1231">
        <v>1</v>
      </c>
      <c r="C1231" t="s">
        <v>501</v>
      </c>
      <c r="D1231" t="s">
        <v>17</v>
      </c>
      <c r="E1231" t="s">
        <v>255</v>
      </c>
      <c r="F1231" t="s">
        <v>434</v>
      </c>
      <c r="G1231">
        <v>6569</v>
      </c>
    </row>
    <row r="1232" spans="1:7" x14ac:dyDescent="0.35">
      <c r="A1232">
        <v>2025</v>
      </c>
      <c r="B1232">
        <v>1</v>
      </c>
      <c r="C1232" t="s">
        <v>501</v>
      </c>
      <c r="D1232" t="s">
        <v>37</v>
      </c>
      <c r="E1232" t="s">
        <v>256</v>
      </c>
      <c r="F1232" t="s">
        <v>435</v>
      </c>
      <c r="G1232">
        <v>-50615.61</v>
      </c>
    </row>
    <row r="1233" spans="1:7" x14ac:dyDescent="0.35">
      <c r="A1233">
        <v>2025</v>
      </c>
      <c r="B1233">
        <v>1</v>
      </c>
      <c r="C1233" t="s">
        <v>501</v>
      </c>
      <c r="D1233" t="s">
        <v>37</v>
      </c>
      <c r="E1233" t="s">
        <v>257</v>
      </c>
      <c r="F1233" t="s">
        <v>436</v>
      </c>
      <c r="G1233">
        <v>-3204455.65</v>
      </c>
    </row>
    <row r="1234" spans="1:7" x14ac:dyDescent="0.35">
      <c r="A1234">
        <v>2025</v>
      </c>
      <c r="B1234">
        <v>1</v>
      </c>
      <c r="C1234" t="s">
        <v>501</v>
      </c>
      <c r="D1234" t="s">
        <v>18</v>
      </c>
      <c r="E1234" t="s">
        <v>259</v>
      </c>
      <c r="F1234" t="s">
        <v>438</v>
      </c>
      <c r="G1234">
        <v>43296</v>
      </c>
    </row>
    <row r="1235" spans="1:7" x14ac:dyDescent="0.35">
      <c r="A1235">
        <v>2025</v>
      </c>
      <c r="B1235">
        <v>2</v>
      </c>
      <c r="C1235" t="s">
        <v>504</v>
      </c>
      <c r="E1235" t="s">
        <v>291</v>
      </c>
      <c r="F1235" t="s">
        <v>474</v>
      </c>
      <c r="G1235">
        <v>16558</v>
      </c>
    </row>
    <row r="1236" spans="1:7" x14ac:dyDescent="0.35">
      <c r="A1236">
        <v>2025</v>
      </c>
      <c r="B1236">
        <v>2</v>
      </c>
      <c r="C1236" t="s">
        <v>504</v>
      </c>
      <c r="D1236" t="s">
        <v>59</v>
      </c>
      <c r="E1236" t="s">
        <v>133</v>
      </c>
      <c r="F1236" t="s">
        <v>313</v>
      </c>
      <c r="G1236">
        <v>7960</v>
      </c>
    </row>
    <row r="1237" spans="1:7" x14ac:dyDescent="0.35">
      <c r="A1237">
        <v>2025</v>
      </c>
      <c r="B1237">
        <v>2</v>
      </c>
      <c r="C1237" t="s">
        <v>504</v>
      </c>
      <c r="D1237" t="s">
        <v>6</v>
      </c>
      <c r="E1237" t="s">
        <v>135</v>
      </c>
      <c r="F1237" t="s">
        <v>316</v>
      </c>
      <c r="G1237">
        <v>15557</v>
      </c>
    </row>
    <row r="1238" spans="1:7" x14ac:dyDescent="0.35">
      <c r="A1238">
        <v>2025</v>
      </c>
      <c r="B1238">
        <v>2</v>
      </c>
      <c r="C1238" t="s">
        <v>504</v>
      </c>
      <c r="D1238" t="s">
        <v>6</v>
      </c>
      <c r="E1238" t="s">
        <v>136</v>
      </c>
      <c r="F1238" t="s">
        <v>317</v>
      </c>
      <c r="G1238">
        <v>79364</v>
      </c>
    </row>
    <row r="1239" spans="1:7" x14ac:dyDescent="0.35">
      <c r="A1239">
        <v>2025</v>
      </c>
      <c r="B1239">
        <v>2</v>
      </c>
      <c r="C1239" t="s">
        <v>504</v>
      </c>
      <c r="D1239" t="s">
        <v>6</v>
      </c>
      <c r="E1239" t="s">
        <v>137</v>
      </c>
      <c r="F1239" t="s">
        <v>318</v>
      </c>
      <c r="G1239">
        <v>45011</v>
      </c>
    </row>
    <row r="1240" spans="1:7" x14ac:dyDescent="0.35">
      <c r="A1240">
        <v>2025</v>
      </c>
      <c r="B1240">
        <v>2</v>
      </c>
      <c r="C1240" t="s">
        <v>504</v>
      </c>
      <c r="D1240" t="s">
        <v>6</v>
      </c>
      <c r="E1240" t="s">
        <v>138</v>
      </c>
      <c r="F1240" t="s">
        <v>319</v>
      </c>
      <c r="G1240">
        <v>30106</v>
      </c>
    </row>
    <row r="1241" spans="1:7" x14ac:dyDescent="0.35">
      <c r="A1241">
        <v>2025</v>
      </c>
      <c r="B1241">
        <v>2</v>
      </c>
      <c r="C1241" t="s">
        <v>504</v>
      </c>
      <c r="D1241" t="s">
        <v>62</v>
      </c>
      <c r="E1241" t="s">
        <v>288</v>
      </c>
      <c r="F1241" t="s">
        <v>470</v>
      </c>
      <c r="G1241">
        <v>3834</v>
      </c>
    </row>
    <row r="1242" spans="1:7" x14ac:dyDescent="0.35">
      <c r="A1242">
        <v>2025</v>
      </c>
      <c r="B1242">
        <v>2</v>
      </c>
      <c r="C1242" t="s">
        <v>504</v>
      </c>
      <c r="D1242" t="s">
        <v>62</v>
      </c>
      <c r="E1242" t="s">
        <v>261</v>
      </c>
      <c r="F1242" t="s">
        <v>441</v>
      </c>
      <c r="G1242">
        <v>319</v>
      </c>
    </row>
    <row r="1243" spans="1:7" x14ac:dyDescent="0.35">
      <c r="A1243">
        <v>2025</v>
      </c>
      <c r="B1243">
        <v>2</v>
      </c>
      <c r="C1243" t="s">
        <v>504</v>
      </c>
      <c r="D1243" t="s">
        <v>31</v>
      </c>
      <c r="E1243" t="s">
        <v>143</v>
      </c>
      <c r="F1243" t="s">
        <v>324</v>
      </c>
      <c r="G1243">
        <v>404859</v>
      </c>
    </row>
    <row r="1244" spans="1:7" x14ac:dyDescent="0.35">
      <c r="A1244">
        <v>2025</v>
      </c>
      <c r="B1244">
        <v>2</v>
      </c>
      <c r="C1244" t="s">
        <v>504</v>
      </c>
      <c r="D1244" t="s">
        <v>91</v>
      </c>
      <c r="E1244" t="s">
        <v>497</v>
      </c>
      <c r="F1244" t="s">
        <v>498</v>
      </c>
      <c r="G1244">
        <v>563907.83999999997</v>
      </c>
    </row>
    <row r="1245" spans="1:7" x14ac:dyDescent="0.35">
      <c r="A1245">
        <v>2025</v>
      </c>
      <c r="B1245">
        <v>2</v>
      </c>
      <c r="C1245" t="s">
        <v>504</v>
      </c>
      <c r="D1245" t="s">
        <v>91</v>
      </c>
      <c r="E1245" t="s">
        <v>531</v>
      </c>
      <c r="F1245" t="s">
        <v>532</v>
      </c>
      <c r="G1245">
        <v>70766.52</v>
      </c>
    </row>
    <row r="1246" spans="1:7" x14ac:dyDescent="0.35">
      <c r="A1246">
        <v>2025</v>
      </c>
      <c r="B1246">
        <v>2</v>
      </c>
      <c r="C1246" t="s">
        <v>504</v>
      </c>
      <c r="D1246" t="s">
        <v>26</v>
      </c>
      <c r="E1246" t="s">
        <v>144</v>
      </c>
      <c r="F1246" t="s">
        <v>325</v>
      </c>
      <c r="G1246">
        <v>11812</v>
      </c>
    </row>
    <row r="1247" spans="1:7" x14ac:dyDescent="0.35">
      <c r="A1247">
        <v>2025</v>
      </c>
      <c r="B1247">
        <v>2</v>
      </c>
      <c r="C1247" t="s">
        <v>504</v>
      </c>
      <c r="D1247" t="s">
        <v>7</v>
      </c>
      <c r="E1247" t="s">
        <v>147</v>
      </c>
      <c r="F1247" t="s">
        <v>328</v>
      </c>
      <c r="G1247">
        <v>54922</v>
      </c>
    </row>
    <row r="1248" spans="1:7" x14ac:dyDescent="0.35">
      <c r="A1248">
        <v>2025</v>
      </c>
      <c r="B1248">
        <v>2</v>
      </c>
      <c r="C1248" t="s">
        <v>504</v>
      </c>
      <c r="D1248" t="s">
        <v>67</v>
      </c>
      <c r="E1248" t="s">
        <v>148</v>
      </c>
      <c r="F1248" t="s">
        <v>329</v>
      </c>
      <c r="G1248">
        <v>2678</v>
      </c>
    </row>
    <row r="1249" spans="1:7" x14ac:dyDescent="0.35">
      <c r="A1249">
        <v>2025</v>
      </c>
      <c r="B1249">
        <v>2</v>
      </c>
      <c r="C1249" t="s">
        <v>504</v>
      </c>
      <c r="D1249" t="s">
        <v>67</v>
      </c>
      <c r="E1249" t="s">
        <v>149</v>
      </c>
      <c r="F1249" t="s">
        <v>330</v>
      </c>
      <c r="G1249">
        <v>5757</v>
      </c>
    </row>
    <row r="1250" spans="1:7" x14ac:dyDescent="0.35">
      <c r="A1250">
        <v>2025</v>
      </c>
      <c r="B1250">
        <v>2</v>
      </c>
      <c r="C1250" t="s">
        <v>504</v>
      </c>
      <c r="D1250" t="s">
        <v>67</v>
      </c>
      <c r="E1250" t="s">
        <v>150</v>
      </c>
      <c r="F1250" t="s">
        <v>331</v>
      </c>
      <c r="G1250">
        <v>61330</v>
      </c>
    </row>
    <row r="1251" spans="1:7" x14ac:dyDescent="0.35">
      <c r="A1251">
        <v>2025</v>
      </c>
      <c r="B1251">
        <v>2</v>
      </c>
      <c r="C1251" t="s">
        <v>504</v>
      </c>
      <c r="D1251" t="s">
        <v>67</v>
      </c>
      <c r="E1251" t="s">
        <v>151</v>
      </c>
      <c r="F1251" t="s">
        <v>332</v>
      </c>
      <c r="G1251">
        <v>4118</v>
      </c>
    </row>
    <row r="1252" spans="1:7" x14ac:dyDescent="0.35">
      <c r="A1252">
        <v>2025</v>
      </c>
      <c r="B1252">
        <v>2</v>
      </c>
      <c r="C1252" t="s">
        <v>504</v>
      </c>
      <c r="D1252" t="s">
        <v>67</v>
      </c>
      <c r="E1252" t="s">
        <v>152</v>
      </c>
      <c r="F1252" t="s">
        <v>333</v>
      </c>
      <c r="G1252">
        <v>26711</v>
      </c>
    </row>
    <row r="1253" spans="1:7" x14ac:dyDescent="0.35">
      <c r="A1253">
        <v>2025</v>
      </c>
      <c r="B1253">
        <v>2</v>
      </c>
      <c r="C1253" t="s">
        <v>504</v>
      </c>
      <c r="D1253" t="s">
        <v>93</v>
      </c>
      <c r="E1253" t="s">
        <v>153</v>
      </c>
      <c r="F1253" t="s">
        <v>334</v>
      </c>
      <c r="G1253">
        <v>42784.6</v>
      </c>
    </row>
    <row r="1254" spans="1:7" x14ac:dyDescent="0.35">
      <c r="A1254">
        <v>2025</v>
      </c>
      <c r="B1254">
        <v>2</v>
      </c>
      <c r="C1254" t="s">
        <v>504</v>
      </c>
      <c r="D1254" t="s">
        <v>93</v>
      </c>
      <c r="E1254" t="s">
        <v>154</v>
      </c>
      <c r="F1254" t="s">
        <v>335</v>
      </c>
      <c r="G1254">
        <v>5062.41</v>
      </c>
    </row>
    <row r="1255" spans="1:7" x14ac:dyDescent="0.35">
      <c r="A1255">
        <v>2025</v>
      </c>
      <c r="B1255">
        <v>2</v>
      </c>
      <c r="C1255" t="s">
        <v>504</v>
      </c>
      <c r="D1255" t="s">
        <v>93</v>
      </c>
      <c r="E1255" t="s">
        <v>281</v>
      </c>
      <c r="F1255" t="s">
        <v>461</v>
      </c>
      <c r="G1255">
        <v>15600</v>
      </c>
    </row>
    <row r="1256" spans="1:7" x14ac:dyDescent="0.35">
      <c r="A1256">
        <v>2025</v>
      </c>
      <c r="B1256">
        <v>2</v>
      </c>
      <c r="C1256" t="s">
        <v>504</v>
      </c>
      <c r="D1256" t="s">
        <v>89</v>
      </c>
      <c r="E1256" t="s">
        <v>155</v>
      </c>
      <c r="F1256" t="s">
        <v>336</v>
      </c>
      <c r="G1256">
        <v>-47126.19</v>
      </c>
    </row>
    <row r="1257" spans="1:7" x14ac:dyDescent="0.35">
      <c r="A1257">
        <v>2025</v>
      </c>
      <c r="B1257">
        <v>2</v>
      </c>
      <c r="C1257" t="s">
        <v>504</v>
      </c>
      <c r="D1257" t="s">
        <v>89</v>
      </c>
      <c r="E1257" t="s">
        <v>156</v>
      </c>
      <c r="F1257" t="s">
        <v>337</v>
      </c>
      <c r="G1257">
        <v>224410.45</v>
      </c>
    </row>
    <row r="1258" spans="1:7" x14ac:dyDescent="0.35">
      <c r="A1258">
        <v>2025</v>
      </c>
      <c r="B1258">
        <v>2</v>
      </c>
      <c r="C1258" t="s">
        <v>504</v>
      </c>
      <c r="D1258" t="s">
        <v>61</v>
      </c>
      <c r="E1258" t="s">
        <v>262</v>
      </c>
      <c r="F1258" t="s">
        <v>442</v>
      </c>
      <c r="G1258">
        <v>5403</v>
      </c>
    </row>
    <row r="1259" spans="1:7" x14ac:dyDescent="0.35">
      <c r="A1259">
        <v>2025</v>
      </c>
      <c r="B1259">
        <v>2</v>
      </c>
      <c r="C1259" t="s">
        <v>504</v>
      </c>
      <c r="D1259" t="s">
        <v>8</v>
      </c>
      <c r="E1259" t="s">
        <v>157</v>
      </c>
      <c r="F1259" t="s">
        <v>338</v>
      </c>
      <c r="G1259">
        <v>77</v>
      </c>
    </row>
    <row r="1260" spans="1:7" x14ac:dyDescent="0.35">
      <c r="A1260">
        <v>2025</v>
      </c>
      <c r="B1260">
        <v>2</v>
      </c>
      <c r="C1260" t="s">
        <v>504</v>
      </c>
      <c r="D1260" t="s">
        <v>20</v>
      </c>
      <c r="E1260" t="s">
        <v>158</v>
      </c>
      <c r="F1260" t="s">
        <v>339</v>
      </c>
      <c r="G1260">
        <v>714002</v>
      </c>
    </row>
    <row r="1261" spans="1:7" x14ac:dyDescent="0.35">
      <c r="A1261">
        <v>2025</v>
      </c>
      <c r="B1261">
        <v>2</v>
      </c>
      <c r="C1261" t="s">
        <v>504</v>
      </c>
      <c r="D1261" t="s">
        <v>160</v>
      </c>
      <c r="E1261" t="s">
        <v>161</v>
      </c>
      <c r="F1261" t="s">
        <v>341</v>
      </c>
      <c r="G1261">
        <v>39599</v>
      </c>
    </row>
    <row r="1262" spans="1:7" x14ac:dyDescent="0.35">
      <c r="A1262">
        <v>2025</v>
      </c>
      <c r="B1262">
        <v>2</v>
      </c>
      <c r="C1262" t="s">
        <v>504</v>
      </c>
      <c r="D1262" t="s">
        <v>32</v>
      </c>
      <c r="E1262" t="s">
        <v>162</v>
      </c>
      <c r="F1262" t="s">
        <v>342</v>
      </c>
      <c r="G1262">
        <v>330</v>
      </c>
    </row>
    <row r="1263" spans="1:7" x14ac:dyDescent="0.35">
      <c r="A1263">
        <v>2025</v>
      </c>
      <c r="B1263">
        <v>2</v>
      </c>
      <c r="C1263" t="s">
        <v>504</v>
      </c>
      <c r="D1263" t="s">
        <v>22</v>
      </c>
      <c r="E1263" t="s">
        <v>165</v>
      </c>
      <c r="F1263" t="s">
        <v>344</v>
      </c>
      <c r="G1263">
        <v>7586</v>
      </c>
    </row>
    <row r="1264" spans="1:7" x14ac:dyDescent="0.35">
      <c r="A1264">
        <v>2025</v>
      </c>
      <c r="B1264">
        <v>2</v>
      </c>
      <c r="C1264" t="s">
        <v>504</v>
      </c>
      <c r="D1264" t="s">
        <v>27</v>
      </c>
      <c r="E1264" t="s">
        <v>166</v>
      </c>
      <c r="F1264" t="s">
        <v>345</v>
      </c>
      <c r="G1264">
        <v>28000</v>
      </c>
    </row>
    <row r="1265" spans="1:7" x14ac:dyDescent="0.35">
      <c r="A1265">
        <v>2025</v>
      </c>
      <c r="B1265">
        <v>2</v>
      </c>
      <c r="C1265" t="s">
        <v>504</v>
      </c>
      <c r="D1265" t="s">
        <v>167</v>
      </c>
      <c r="E1265" t="s">
        <v>167</v>
      </c>
      <c r="F1265" t="s">
        <v>346</v>
      </c>
      <c r="G1265">
        <v>2045494</v>
      </c>
    </row>
    <row r="1266" spans="1:7" x14ac:dyDescent="0.35">
      <c r="A1266">
        <v>2025</v>
      </c>
      <c r="B1266">
        <v>2</v>
      </c>
      <c r="C1266" t="s">
        <v>504</v>
      </c>
      <c r="D1266" t="s">
        <v>9</v>
      </c>
      <c r="E1266" t="s">
        <v>168</v>
      </c>
      <c r="F1266" t="s">
        <v>347</v>
      </c>
      <c r="G1266">
        <v>1220</v>
      </c>
    </row>
    <row r="1267" spans="1:7" x14ac:dyDescent="0.35">
      <c r="A1267">
        <v>2025</v>
      </c>
      <c r="B1267">
        <v>2</v>
      </c>
      <c r="C1267" t="s">
        <v>504</v>
      </c>
      <c r="D1267" t="s">
        <v>9</v>
      </c>
      <c r="E1267" t="s">
        <v>169</v>
      </c>
      <c r="F1267" t="s">
        <v>348</v>
      </c>
      <c r="G1267">
        <v>16151</v>
      </c>
    </row>
    <row r="1268" spans="1:7" x14ac:dyDescent="0.35">
      <c r="A1268">
        <v>2025</v>
      </c>
      <c r="B1268">
        <v>2</v>
      </c>
      <c r="C1268" t="s">
        <v>504</v>
      </c>
      <c r="D1268" t="s">
        <v>72</v>
      </c>
      <c r="E1268" t="s">
        <v>170</v>
      </c>
      <c r="F1268" t="s">
        <v>349</v>
      </c>
      <c r="G1268">
        <v>14133</v>
      </c>
    </row>
    <row r="1269" spans="1:7" x14ac:dyDescent="0.35">
      <c r="A1269">
        <v>2025</v>
      </c>
      <c r="B1269">
        <v>2</v>
      </c>
      <c r="C1269" t="s">
        <v>504</v>
      </c>
      <c r="D1269" t="s">
        <v>39</v>
      </c>
      <c r="E1269" t="s">
        <v>171</v>
      </c>
      <c r="F1269" t="s">
        <v>350</v>
      </c>
      <c r="G1269">
        <v>1611</v>
      </c>
    </row>
    <row r="1270" spans="1:7" x14ac:dyDescent="0.35">
      <c r="A1270">
        <v>2025</v>
      </c>
      <c r="B1270">
        <v>2</v>
      </c>
      <c r="C1270" t="s">
        <v>504</v>
      </c>
      <c r="D1270" t="s">
        <v>10</v>
      </c>
      <c r="E1270" t="s">
        <v>172</v>
      </c>
      <c r="F1270" t="s">
        <v>351</v>
      </c>
      <c r="G1270">
        <v>11077</v>
      </c>
    </row>
    <row r="1271" spans="1:7" x14ac:dyDescent="0.35">
      <c r="A1271">
        <v>2025</v>
      </c>
      <c r="B1271">
        <v>2</v>
      </c>
      <c r="C1271" t="s">
        <v>504</v>
      </c>
      <c r="D1271" t="s">
        <v>66</v>
      </c>
      <c r="E1271" t="s">
        <v>173</v>
      </c>
      <c r="F1271" t="s">
        <v>352</v>
      </c>
      <c r="G1271">
        <v>429300</v>
      </c>
    </row>
    <row r="1272" spans="1:7" x14ac:dyDescent="0.35">
      <c r="A1272">
        <v>2025</v>
      </c>
      <c r="B1272">
        <v>2</v>
      </c>
      <c r="C1272" t="s">
        <v>504</v>
      </c>
      <c r="D1272" t="s">
        <v>66</v>
      </c>
      <c r="E1272" t="s">
        <v>174</v>
      </c>
      <c r="F1272" t="s">
        <v>353</v>
      </c>
      <c r="G1272">
        <v>71718</v>
      </c>
    </row>
    <row r="1273" spans="1:7" x14ac:dyDescent="0.35">
      <c r="A1273">
        <v>2025</v>
      </c>
      <c r="B1273">
        <v>2</v>
      </c>
      <c r="C1273" t="s">
        <v>504</v>
      </c>
      <c r="D1273" t="s">
        <v>66</v>
      </c>
      <c r="E1273" t="s">
        <v>175</v>
      </c>
      <c r="F1273" t="s">
        <v>354</v>
      </c>
      <c r="G1273">
        <v>483</v>
      </c>
    </row>
    <row r="1274" spans="1:7" x14ac:dyDescent="0.35">
      <c r="A1274">
        <v>2025</v>
      </c>
      <c r="B1274">
        <v>2</v>
      </c>
      <c r="C1274" t="s">
        <v>504</v>
      </c>
      <c r="D1274" t="s">
        <v>66</v>
      </c>
      <c r="E1274" t="s">
        <v>176</v>
      </c>
      <c r="F1274" t="s">
        <v>355</v>
      </c>
      <c r="G1274">
        <v>43555</v>
      </c>
    </row>
    <row r="1275" spans="1:7" x14ac:dyDescent="0.35">
      <c r="A1275">
        <v>2025</v>
      </c>
      <c r="B1275">
        <v>2</v>
      </c>
      <c r="C1275" t="s">
        <v>504</v>
      </c>
      <c r="D1275" t="s">
        <v>66</v>
      </c>
      <c r="E1275" t="s">
        <v>177</v>
      </c>
      <c r="F1275" t="s">
        <v>356</v>
      </c>
      <c r="G1275">
        <v>59807</v>
      </c>
    </row>
    <row r="1276" spans="1:7" x14ac:dyDescent="0.35">
      <c r="A1276">
        <v>2025</v>
      </c>
      <c r="B1276">
        <v>2</v>
      </c>
      <c r="C1276" t="s">
        <v>504</v>
      </c>
      <c r="D1276" t="s">
        <v>66</v>
      </c>
      <c r="E1276" t="s">
        <v>178</v>
      </c>
      <c r="F1276" t="s">
        <v>357</v>
      </c>
      <c r="G1276">
        <v>2999</v>
      </c>
    </row>
    <row r="1277" spans="1:7" x14ac:dyDescent="0.35">
      <c r="A1277">
        <v>2025</v>
      </c>
      <c r="B1277">
        <v>2</v>
      </c>
      <c r="C1277" t="s">
        <v>504</v>
      </c>
      <c r="D1277" t="s">
        <v>11</v>
      </c>
      <c r="E1277" t="s">
        <v>179</v>
      </c>
      <c r="F1277" t="s">
        <v>180</v>
      </c>
      <c r="G1277">
        <v>5189</v>
      </c>
    </row>
    <row r="1278" spans="1:7" x14ac:dyDescent="0.35">
      <c r="A1278">
        <v>2025</v>
      </c>
      <c r="B1278">
        <v>2</v>
      </c>
      <c r="C1278" t="s">
        <v>504</v>
      </c>
      <c r="D1278" t="s">
        <v>74</v>
      </c>
      <c r="E1278" t="s">
        <v>205</v>
      </c>
      <c r="F1278" t="s">
        <v>384</v>
      </c>
      <c r="G1278">
        <v>2843</v>
      </c>
    </row>
    <row r="1279" spans="1:7" x14ac:dyDescent="0.35">
      <c r="A1279">
        <v>2025</v>
      </c>
      <c r="B1279">
        <v>2</v>
      </c>
      <c r="C1279" t="s">
        <v>504</v>
      </c>
      <c r="D1279" t="s">
        <v>74</v>
      </c>
      <c r="E1279" t="s">
        <v>183</v>
      </c>
      <c r="F1279" t="s">
        <v>360</v>
      </c>
      <c r="G1279">
        <v>5162</v>
      </c>
    </row>
    <row r="1280" spans="1:7" x14ac:dyDescent="0.35">
      <c r="A1280">
        <v>2025</v>
      </c>
      <c r="B1280">
        <v>2</v>
      </c>
      <c r="C1280" t="s">
        <v>504</v>
      </c>
      <c r="D1280" t="s">
        <v>74</v>
      </c>
      <c r="E1280" t="s">
        <v>266</v>
      </c>
      <c r="F1280" t="s">
        <v>446</v>
      </c>
      <c r="G1280">
        <v>7943</v>
      </c>
    </row>
    <row r="1281" spans="1:7" x14ac:dyDescent="0.35">
      <c r="A1281">
        <v>2025</v>
      </c>
      <c r="B1281">
        <v>2</v>
      </c>
      <c r="C1281" t="s">
        <v>504</v>
      </c>
      <c r="D1281" t="s">
        <v>74</v>
      </c>
      <c r="E1281" t="s">
        <v>186</v>
      </c>
      <c r="F1281" t="s">
        <v>364</v>
      </c>
      <c r="G1281">
        <v>24870</v>
      </c>
    </row>
    <row r="1282" spans="1:7" x14ac:dyDescent="0.35">
      <c r="A1282">
        <v>2025</v>
      </c>
      <c r="B1282">
        <v>2</v>
      </c>
      <c r="C1282" t="s">
        <v>504</v>
      </c>
      <c r="D1282" t="s">
        <v>74</v>
      </c>
      <c r="E1282" t="s">
        <v>270</v>
      </c>
      <c r="F1282" t="s">
        <v>450</v>
      </c>
      <c r="G1282">
        <v>525</v>
      </c>
    </row>
    <row r="1283" spans="1:7" x14ac:dyDescent="0.35">
      <c r="A1283">
        <v>2025</v>
      </c>
      <c r="B1283">
        <v>2</v>
      </c>
      <c r="C1283" t="s">
        <v>504</v>
      </c>
      <c r="D1283" t="s">
        <v>74</v>
      </c>
      <c r="E1283" t="s">
        <v>271</v>
      </c>
      <c r="F1283" t="s">
        <v>451</v>
      </c>
      <c r="G1283">
        <v>19953</v>
      </c>
    </row>
    <row r="1284" spans="1:7" x14ac:dyDescent="0.35">
      <c r="A1284">
        <v>2025</v>
      </c>
      <c r="B1284">
        <v>2</v>
      </c>
      <c r="C1284" t="s">
        <v>504</v>
      </c>
      <c r="D1284" t="s">
        <v>74</v>
      </c>
      <c r="E1284" t="s">
        <v>187</v>
      </c>
      <c r="F1284" t="s">
        <v>365</v>
      </c>
      <c r="G1284">
        <v>223</v>
      </c>
    </row>
    <row r="1285" spans="1:7" x14ac:dyDescent="0.35">
      <c r="A1285">
        <v>2025</v>
      </c>
      <c r="B1285">
        <v>2</v>
      </c>
      <c r="C1285" t="s">
        <v>504</v>
      </c>
      <c r="D1285" t="s">
        <v>74</v>
      </c>
      <c r="E1285" t="s">
        <v>283</v>
      </c>
      <c r="F1285" t="s">
        <v>463</v>
      </c>
      <c r="G1285">
        <v>310</v>
      </c>
    </row>
    <row r="1286" spans="1:7" x14ac:dyDescent="0.35">
      <c r="A1286">
        <v>2025</v>
      </c>
      <c r="B1286">
        <v>2</v>
      </c>
      <c r="C1286" t="s">
        <v>504</v>
      </c>
      <c r="D1286" t="s">
        <v>85</v>
      </c>
      <c r="E1286" t="s">
        <v>188</v>
      </c>
      <c r="F1286" t="s">
        <v>366</v>
      </c>
      <c r="G1286">
        <v>777793.12</v>
      </c>
    </row>
    <row r="1287" spans="1:7" x14ac:dyDescent="0.35">
      <c r="A1287">
        <v>2025</v>
      </c>
      <c r="B1287">
        <v>2</v>
      </c>
      <c r="C1287" t="s">
        <v>504</v>
      </c>
      <c r="D1287" t="s">
        <v>106</v>
      </c>
      <c r="E1287" t="s">
        <v>189</v>
      </c>
      <c r="F1287" t="s">
        <v>367</v>
      </c>
      <c r="G1287">
        <v>2951308</v>
      </c>
    </row>
    <row r="1288" spans="1:7" x14ac:dyDescent="0.35">
      <c r="A1288">
        <v>2025</v>
      </c>
      <c r="B1288">
        <v>2</v>
      </c>
      <c r="C1288" t="s">
        <v>504</v>
      </c>
      <c r="D1288" t="s">
        <v>106</v>
      </c>
      <c r="E1288" t="s">
        <v>190</v>
      </c>
      <c r="F1288" t="s">
        <v>368</v>
      </c>
      <c r="G1288">
        <v>130814</v>
      </c>
    </row>
    <row r="1289" spans="1:7" x14ac:dyDescent="0.35">
      <c r="A1289">
        <v>2025</v>
      </c>
      <c r="B1289">
        <v>2</v>
      </c>
      <c r="C1289" t="s">
        <v>504</v>
      </c>
      <c r="D1289" t="s">
        <v>106</v>
      </c>
      <c r="E1289" t="s">
        <v>191</v>
      </c>
      <c r="F1289" t="s">
        <v>369</v>
      </c>
      <c r="G1289">
        <v>683304</v>
      </c>
    </row>
    <row r="1290" spans="1:7" x14ac:dyDescent="0.35">
      <c r="A1290">
        <v>2025</v>
      </c>
      <c r="B1290">
        <v>2</v>
      </c>
      <c r="C1290" t="s">
        <v>504</v>
      </c>
      <c r="D1290" t="s">
        <v>106</v>
      </c>
      <c r="E1290" t="s">
        <v>192</v>
      </c>
      <c r="F1290" t="s">
        <v>370</v>
      </c>
      <c r="G1290">
        <v>249721</v>
      </c>
    </row>
    <row r="1291" spans="1:7" x14ac:dyDescent="0.35">
      <c r="A1291">
        <v>2025</v>
      </c>
      <c r="B1291">
        <v>2</v>
      </c>
      <c r="C1291" t="s">
        <v>504</v>
      </c>
      <c r="D1291" t="s">
        <v>106</v>
      </c>
      <c r="E1291" t="s">
        <v>193</v>
      </c>
      <c r="F1291" t="s">
        <v>371</v>
      </c>
      <c r="G1291">
        <v>35697</v>
      </c>
    </row>
    <row r="1292" spans="1:7" x14ac:dyDescent="0.35">
      <c r="A1292">
        <v>2025</v>
      </c>
      <c r="B1292">
        <v>2</v>
      </c>
      <c r="C1292" t="s">
        <v>504</v>
      </c>
      <c r="D1292" t="s">
        <v>106</v>
      </c>
      <c r="E1292" t="s">
        <v>195</v>
      </c>
      <c r="F1292" t="s">
        <v>373</v>
      </c>
      <c r="G1292">
        <v>98108</v>
      </c>
    </row>
    <row r="1293" spans="1:7" x14ac:dyDescent="0.35">
      <c r="A1293">
        <v>2025</v>
      </c>
      <c r="B1293">
        <v>2</v>
      </c>
      <c r="C1293" t="s">
        <v>504</v>
      </c>
      <c r="D1293" t="s">
        <v>75</v>
      </c>
      <c r="E1293" t="s">
        <v>204</v>
      </c>
      <c r="F1293" t="s">
        <v>383</v>
      </c>
      <c r="G1293">
        <v>101050</v>
      </c>
    </row>
    <row r="1294" spans="1:7" x14ac:dyDescent="0.35">
      <c r="A1294">
        <v>2025</v>
      </c>
      <c r="B1294">
        <v>2</v>
      </c>
      <c r="C1294" t="s">
        <v>504</v>
      </c>
      <c r="D1294" t="s">
        <v>23</v>
      </c>
      <c r="E1294" t="s">
        <v>206</v>
      </c>
      <c r="F1294" t="s">
        <v>385</v>
      </c>
      <c r="G1294">
        <v>2050</v>
      </c>
    </row>
    <row r="1295" spans="1:7" x14ac:dyDescent="0.35">
      <c r="A1295">
        <v>2025</v>
      </c>
      <c r="B1295">
        <v>2</v>
      </c>
      <c r="C1295" t="s">
        <v>504</v>
      </c>
      <c r="D1295" t="s">
        <v>24</v>
      </c>
      <c r="E1295" t="s">
        <v>207</v>
      </c>
      <c r="F1295" t="s">
        <v>386</v>
      </c>
      <c r="G1295">
        <v>39627</v>
      </c>
    </row>
    <row r="1296" spans="1:7" x14ac:dyDescent="0.35">
      <c r="A1296">
        <v>2025</v>
      </c>
      <c r="B1296">
        <v>2</v>
      </c>
      <c r="C1296" t="s">
        <v>504</v>
      </c>
      <c r="D1296" t="s">
        <v>519</v>
      </c>
      <c r="E1296" t="s">
        <v>202</v>
      </c>
      <c r="F1296" t="s">
        <v>380</v>
      </c>
      <c r="G1296">
        <v>2600</v>
      </c>
    </row>
    <row r="1297" spans="1:7" x14ac:dyDescent="0.35">
      <c r="A1297">
        <v>2025</v>
      </c>
      <c r="B1297">
        <v>2</v>
      </c>
      <c r="C1297" t="s">
        <v>504</v>
      </c>
      <c r="D1297" t="s">
        <v>519</v>
      </c>
      <c r="E1297" t="s">
        <v>203</v>
      </c>
      <c r="F1297" t="s">
        <v>381</v>
      </c>
      <c r="G1297">
        <v>9507.27</v>
      </c>
    </row>
    <row r="1298" spans="1:7" x14ac:dyDescent="0.35">
      <c r="A1298">
        <v>2025</v>
      </c>
      <c r="B1298">
        <v>2</v>
      </c>
      <c r="C1298" t="s">
        <v>504</v>
      </c>
      <c r="D1298" t="s">
        <v>519</v>
      </c>
      <c r="E1298" t="s">
        <v>196</v>
      </c>
      <c r="F1298" t="s">
        <v>382</v>
      </c>
      <c r="G1298">
        <v>2.54</v>
      </c>
    </row>
    <row r="1299" spans="1:7" x14ac:dyDescent="0.35">
      <c r="A1299">
        <v>2025</v>
      </c>
      <c r="B1299">
        <v>2</v>
      </c>
      <c r="C1299" t="s">
        <v>504</v>
      </c>
      <c r="D1299" t="s">
        <v>520</v>
      </c>
      <c r="E1299" t="s">
        <v>241</v>
      </c>
      <c r="F1299" t="s">
        <v>420</v>
      </c>
      <c r="G1299">
        <v>744</v>
      </c>
    </row>
    <row r="1300" spans="1:7" x14ac:dyDescent="0.35">
      <c r="A1300">
        <v>2025</v>
      </c>
      <c r="B1300">
        <v>2</v>
      </c>
      <c r="C1300" t="s">
        <v>504</v>
      </c>
      <c r="D1300" t="s">
        <v>520</v>
      </c>
      <c r="E1300" t="s">
        <v>208</v>
      </c>
      <c r="F1300" t="s">
        <v>387</v>
      </c>
      <c r="G1300">
        <v>25</v>
      </c>
    </row>
    <row r="1301" spans="1:7" x14ac:dyDescent="0.35">
      <c r="A1301">
        <v>2025</v>
      </c>
      <c r="B1301">
        <v>2</v>
      </c>
      <c r="C1301" t="s">
        <v>504</v>
      </c>
      <c r="D1301" t="s">
        <v>520</v>
      </c>
      <c r="E1301" t="s">
        <v>134</v>
      </c>
      <c r="F1301" t="s">
        <v>315</v>
      </c>
      <c r="G1301">
        <v>4925</v>
      </c>
    </row>
    <row r="1302" spans="1:7" x14ac:dyDescent="0.35">
      <c r="A1302">
        <v>2025</v>
      </c>
      <c r="B1302">
        <v>2</v>
      </c>
      <c r="C1302" t="s">
        <v>504</v>
      </c>
      <c r="D1302" t="s">
        <v>520</v>
      </c>
      <c r="E1302" t="s">
        <v>297</v>
      </c>
      <c r="F1302" t="s">
        <v>482</v>
      </c>
      <c r="G1302">
        <v>800</v>
      </c>
    </row>
    <row r="1303" spans="1:7" x14ac:dyDescent="0.35">
      <c r="A1303">
        <v>2025</v>
      </c>
      <c r="B1303">
        <v>2</v>
      </c>
      <c r="C1303" t="s">
        <v>504</v>
      </c>
      <c r="D1303" t="s">
        <v>520</v>
      </c>
      <c r="E1303" t="s">
        <v>196</v>
      </c>
      <c r="F1303" t="s">
        <v>374</v>
      </c>
      <c r="G1303">
        <v>721</v>
      </c>
    </row>
    <row r="1304" spans="1:7" x14ac:dyDescent="0.35">
      <c r="A1304">
        <v>2025</v>
      </c>
      <c r="B1304">
        <v>2</v>
      </c>
      <c r="C1304" t="s">
        <v>504</v>
      </c>
      <c r="D1304" t="s">
        <v>520</v>
      </c>
      <c r="E1304" t="s">
        <v>198</v>
      </c>
      <c r="F1304" t="s">
        <v>376</v>
      </c>
      <c r="G1304">
        <v>2397</v>
      </c>
    </row>
    <row r="1305" spans="1:7" x14ac:dyDescent="0.35">
      <c r="A1305">
        <v>2025</v>
      </c>
      <c r="B1305">
        <v>2</v>
      </c>
      <c r="C1305" t="s">
        <v>504</v>
      </c>
      <c r="D1305" t="s">
        <v>520</v>
      </c>
      <c r="E1305" t="s">
        <v>200</v>
      </c>
      <c r="F1305" t="s">
        <v>378</v>
      </c>
      <c r="G1305">
        <v>2951</v>
      </c>
    </row>
    <row r="1306" spans="1:7" x14ac:dyDescent="0.35">
      <c r="A1306">
        <v>2025</v>
      </c>
      <c r="B1306">
        <v>2</v>
      </c>
      <c r="C1306" t="s">
        <v>504</v>
      </c>
      <c r="D1306" t="s">
        <v>520</v>
      </c>
      <c r="E1306" t="s">
        <v>201</v>
      </c>
      <c r="F1306" t="s">
        <v>379</v>
      </c>
      <c r="G1306">
        <v>1224</v>
      </c>
    </row>
    <row r="1307" spans="1:7" x14ac:dyDescent="0.35">
      <c r="A1307">
        <v>2025</v>
      </c>
      <c r="B1307">
        <v>2</v>
      </c>
      <c r="C1307" t="s">
        <v>504</v>
      </c>
      <c r="D1307" t="s">
        <v>33</v>
      </c>
      <c r="E1307" t="s">
        <v>209</v>
      </c>
      <c r="F1307" t="s">
        <v>388</v>
      </c>
      <c r="G1307">
        <v>1000</v>
      </c>
    </row>
    <row r="1308" spans="1:7" x14ac:dyDescent="0.35">
      <c r="A1308">
        <v>2025</v>
      </c>
      <c r="B1308">
        <v>2</v>
      </c>
      <c r="C1308" t="s">
        <v>504</v>
      </c>
      <c r="D1308" t="s">
        <v>12</v>
      </c>
      <c r="E1308" t="s">
        <v>211</v>
      </c>
      <c r="F1308" t="s">
        <v>390</v>
      </c>
      <c r="G1308">
        <v>1150</v>
      </c>
    </row>
    <row r="1309" spans="1:7" x14ac:dyDescent="0.35">
      <c r="A1309">
        <v>2025</v>
      </c>
      <c r="B1309">
        <v>2</v>
      </c>
      <c r="C1309" t="s">
        <v>504</v>
      </c>
      <c r="D1309" t="s">
        <v>12</v>
      </c>
      <c r="E1309" t="s">
        <v>212</v>
      </c>
      <c r="F1309" t="s">
        <v>391</v>
      </c>
      <c r="G1309">
        <v>3175</v>
      </c>
    </row>
    <row r="1310" spans="1:7" x14ac:dyDescent="0.35">
      <c r="A1310">
        <v>2025</v>
      </c>
      <c r="B1310">
        <v>2</v>
      </c>
      <c r="C1310" t="s">
        <v>504</v>
      </c>
      <c r="D1310" t="s">
        <v>12</v>
      </c>
      <c r="E1310" t="s">
        <v>273</v>
      </c>
      <c r="F1310" t="s">
        <v>453</v>
      </c>
      <c r="G1310">
        <v>1833</v>
      </c>
    </row>
    <row r="1311" spans="1:7" x14ac:dyDescent="0.35">
      <c r="A1311">
        <v>2025</v>
      </c>
      <c r="B1311">
        <v>2</v>
      </c>
      <c r="C1311" t="s">
        <v>504</v>
      </c>
      <c r="D1311" t="s">
        <v>12</v>
      </c>
      <c r="E1311" t="s">
        <v>213</v>
      </c>
      <c r="F1311" t="s">
        <v>392</v>
      </c>
      <c r="G1311">
        <v>8657</v>
      </c>
    </row>
    <row r="1312" spans="1:7" x14ac:dyDescent="0.35">
      <c r="A1312">
        <v>2025</v>
      </c>
      <c r="B1312">
        <v>2</v>
      </c>
      <c r="C1312" t="s">
        <v>504</v>
      </c>
      <c r="D1312" t="s">
        <v>12</v>
      </c>
      <c r="E1312" t="s">
        <v>214</v>
      </c>
      <c r="F1312" t="s">
        <v>394</v>
      </c>
      <c r="G1312">
        <v>3354</v>
      </c>
    </row>
    <row r="1313" spans="1:7" x14ac:dyDescent="0.35">
      <c r="A1313">
        <v>2025</v>
      </c>
      <c r="B1313">
        <v>2</v>
      </c>
      <c r="C1313" t="s">
        <v>504</v>
      </c>
      <c r="D1313" t="s">
        <v>12</v>
      </c>
      <c r="E1313" t="s">
        <v>215</v>
      </c>
      <c r="F1313" t="s">
        <v>395</v>
      </c>
      <c r="G1313">
        <v>2945</v>
      </c>
    </row>
    <row r="1314" spans="1:7" x14ac:dyDescent="0.35">
      <c r="A1314">
        <v>2025</v>
      </c>
      <c r="B1314">
        <v>2</v>
      </c>
      <c r="C1314" t="s">
        <v>504</v>
      </c>
      <c r="D1314" t="s">
        <v>12</v>
      </c>
      <c r="E1314" t="s">
        <v>216</v>
      </c>
      <c r="F1314" t="s">
        <v>396</v>
      </c>
      <c r="G1314">
        <v>5390</v>
      </c>
    </row>
    <row r="1315" spans="1:7" x14ac:dyDescent="0.35">
      <c r="A1315">
        <v>2025</v>
      </c>
      <c r="B1315">
        <v>2</v>
      </c>
      <c r="C1315" t="s">
        <v>504</v>
      </c>
      <c r="D1315" t="s">
        <v>12</v>
      </c>
      <c r="E1315" t="s">
        <v>217</v>
      </c>
      <c r="F1315" t="s">
        <v>397</v>
      </c>
      <c r="G1315">
        <v>2000</v>
      </c>
    </row>
    <row r="1316" spans="1:7" x14ac:dyDescent="0.35">
      <c r="A1316">
        <v>2025</v>
      </c>
      <c r="B1316">
        <v>2</v>
      </c>
      <c r="C1316" t="s">
        <v>504</v>
      </c>
      <c r="D1316" t="s">
        <v>12</v>
      </c>
      <c r="E1316" t="s">
        <v>218</v>
      </c>
      <c r="F1316" t="s">
        <v>398</v>
      </c>
      <c r="G1316">
        <v>8089</v>
      </c>
    </row>
    <row r="1317" spans="1:7" x14ac:dyDescent="0.35">
      <c r="A1317">
        <v>2025</v>
      </c>
      <c r="B1317">
        <v>2</v>
      </c>
      <c r="C1317" t="s">
        <v>504</v>
      </c>
      <c r="D1317" t="s">
        <v>12</v>
      </c>
      <c r="E1317" t="s">
        <v>219</v>
      </c>
      <c r="F1317" t="s">
        <v>399</v>
      </c>
      <c r="G1317">
        <v>4563</v>
      </c>
    </row>
    <row r="1318" spans="1:7" x14ac:dyDescent="0.35">
      <c r="A1318">
        <v>2025</v>
      </c>
      <c r="B1318">
        <v>2</v>
      </c>
      <c r="C1318" t="s">
        <v>504</v>
      </c>
      <c r="D1318" t="s">
        <v>12</v>
      </c>
      <c r="E1318" t="s">
        <v>220</v>
      </c>
      <c r="F1318" t="s">
        <v>400</v>
      </c>
      <c r="G1318">
        <v>3481</v>
      </c>
    </row>
    <row r="1319" spans="1:7" x14ac:dyDescent="0.35">
      <c r="A1319">
        <v>2025</v>
      </c>
      <c r="B1319">
        <v>2</v>
      </c>
      <c r="C1319" t="s">
        <v>504</v>
      </c>
      <c r="D1319" t="s">
        <v>12</v>
      </c>
      <c r="E1319" t="s">
        <v>221</v>
      </c>
      <c r="F1319" t="s">
        <v>401</v>
      </c>
      <c r="G1319">
        <v>4918</v>
      </c>
    </row>
    <row r="1320" spans="1:7" x14ac:dyDescent="0.35">
      <c r="A1320">
        <v>2025</v>
      </c>
      <c r="B1320">
        <v>2</v>
      </c>
      <c r="C1320" t="s">
        <v>504</v>
      </c>
      <c r="D1320" t="s">
        <v>12</v>
      </c>
      <c r="E1320" t="s">
        <v>222</v>
      </c>
      <c r="F1320" t="s">
        <v>402</v>
      </c>
      <c r="G1320">
        <v>8750</v>
      </c>
    </row>
    <row r="1321" spans="1:7" x14ac:dyDescent="0.35">
      <c r="A1321">
        <v>2025</v>
      </c>
      <c r="B1321">
        <v>2</v>
      </c>
      <c r="C1321" t="s">
        <v>504</v>
      </c>
      <c r="D1321" t="s">
        <v>54</v>
      </c>
      <c r="E1321" t="s">
        <v>505</v>
      </c>
      <c r="F1321" t="s">
        <v>506</v>
      </c>
      <c r="G1321">
        <v>294496</v>
      </c>
    </row>
    <row r="1322" spans="1:7" x14ac:dyDescent="0.35">
      <c r="A1322">
        <v>2025</v>
      </c>
      <c r="B1322">
        <v>2</v>
      </c>
      <c r="C1322" t="s">
        <v>504</v>
      </c>
      <c r="D1322" t="s">
        <v>28</v>
      </c>
      <c r="E1322" t="s">
        <v>223</v>
      </c>
      <c r="F1322" t="s">
        <v>403</v>
      </c>
      <c r="G1322">
        <v>19860</v>
      </c>
    </row>
    <row r="1323" spans="1:7" x14ac:dyDescent="0.35">
      <c r="A1323">
        <v>2025</v>
      </c>
      <c r="B1323">
        <v>2</v>
      </c>
      <c r="C1323" t="s">
        <v>504</v>
      </c>
      <c r="D1323" t="s">
        <v>28</v>
      </c>
      <c r="E1323" t="s">
        <v>224</v>
      </c>
      <c r="F1323" t="s">
        <v>404</v>
      </c>
      <c r="G1323">
        <v>18980</v>
      </c>
    </row>
    <row r="1324" spans="1:7" x14ac:dyDescent="0.35">
      <c r="A1324">
        <v>2025</v>
      </c>
      <c r="B1324">
        <v>2</v>
      </c>
      <c r="C1324" t="s">
        <v>504</v>
      </c>
      <c r="D1324" t="s">
        <v>64</v>
      </c>
      <c r="E1324" t="s">
        <v>225</v>
      </c>
      <c r="F1324" t="s">
        <v>405</v>
      </c>
      <c r="G1324">
        <v>3032</v>
      </c>
    </row>
    <row r="1325" spans="1:7" x14ac:dyDescent="0.35">
      <c r="A1325">
        <v>2025</v>
      </c>
      <c r="B1325">
        <v>2</v>
      </c>
      <c r="C1325" t="s">
        <v>504</v>
      </c>
      <c r="D1325" t="s">
        <v>29</v>
      </c>
      <c r="E1325" t="s">
        <v>226</v>
      </c>
      <c r="F1325" t="s">
        <v>406</v>
      </c>
      <c r="G1325">
        <v>691</v>
      </c>
    </row>
    <row r="1326" spans="1:7" x14ac:dyDescent="0.35">
      <c r="A1326">
        <v>2025</v>
      </c>
      <c r="B1326">
        <v>2</v>
      </c>
      <c r="C1326" t="s">
        <v>504</v>
      </c>
      <c r="D1326" t="s">
        <v>102</v>
      </c>
      <c r="E1326" t="s">
        <v>227</v>
      </c>
      <c r="F1326" t="s">
        <v>407</v>
      </c>
      <c r="G1326">
        <v>-16704</v>
      </c>
    </row>
    <row r="1327" spans="1:7" x14ac:dyDescent="0.35">
      <c r="A1327">
        <v>2025</v>
      </c>
      <c r="B1327">
        <v>2</v>
      </c>
      <c r="C1327" t="s">
        <v>504</v>
      </c>
      <c r="D1327" t="s">
        <v>25</v>
      </c>
      <c r="E1327" t="s">
        <v>274</v>
      </c>
      <c r="F1327" t="s">
        <v>454</v>
      </c>
      <c r="G1327">
        <v>901</v>
      </c>
    </row>
    <row r="1328" spans="1:7" x14ac:dyDescent="0.35">
      <c r="A1328">
        <v>2025</v>
      </c>
      <c r="B1328">
        <v>2</v>
      </c>
      <c r="C1328" t="s">
        <v>504</v>
      </c>
      <c r="D1328" t="s">
        <v>229</v>
      </c>
      <c r="E1328" t="s">
        <v>230</v>
      </c>
      <c r="F1328" t="s">
        <v>409</v>
      </c>
      <c r="G1328">
        <v>797952</v>
      </c>
    </row>
    <row r="1329" spans="1:7" x14ac:dyDescent="0.35">
      <c r="A1329">
        <v>2025</v>
      </c>
      <c r="B1329">
        <v>2</v>
      </c>
      <c r="C1329" t="s">
        <v>504</v>
      </c>
      <c r="D1329" t="s">
        <v>13</v>
      </c>
      <c r="E1329" t="s">
        <v>232</v>
      </c>
      <c r="F1329" t="s">
        <v>411</v>
      </c>
      <c r="G1329">
        <v>545</v>
      </c>
    </row>
    <row r="1330" spans="1:7" x14ac:dyDescent="0.35">
      <c r="A1330">
        <v>2025</v>
      </c>
      <c r="B1330">
        <v>2</v>
      </c>
      <c r="C1330" t="s">
        <v>504</v>
      </c>
      <c r="D1330" t="s">
        <v>94</v>
      </c>
      <c r="E1330" t="s">
        <v>233</v>
      </c>
      <c r="F1330" t="s">
        <v>412</v>
      </c>
      <c r="G1330">
        <v>30300</v>
      </c>
    </row>
    <row r="1331" spans="1:7" x14ac:dyDescent="0.35">
      <c r="A1331">
        <v>2025</v>
      </c>
      <c r="B1331">
        <v>2</v>
      </c>
      <c r="C1331" t="s">
        <v>504</v>
      </c>
      <c r="D1331" t="s">
        <v>36</v>
      </c>
      <c r="E1331" t="s">
        <v>275</v>
      </c>
      <c r="F1331" t="s">
        <v>455</v>
      </c>
      <c r="G1331">
        <v>9339</v>
      </c>
    </row>
    <row r="1332" spans="1:7" x14ac:dyDescent="0.35">
      <c r="A1332">
        <v>2025</v>
      </c>
      <c r="B1332">
        <v>2</v>
      </c>
      <c r="C1332" t="s">
        <v>504</v>
      </c>
      <c r="D1332" t="s">
        <v>43</v>
      </c>
      <c r="E1332" t="s">
        <v>234</v>
      </c>
      <c r="F1332" t="s">
        <v>413</v>
      </c>
      <c r="G1332">
        <v>9790</v>
      </c>
    </row>
    <row r="1333" spans="1:7" x14ac:dyDescent="0.35">
      <c r="A1333">
        <v>2025</v>
      </c>
      <c r="B1333">
        <v>2</v>
      </c>
      <c r="C1333" t="s">
        <v>504</v>
      </c>
      <c r="D1333" t="s">
        <v>40</v>
      </c>
      <c r="E1333" t="s">
        <v>235</v>
      </c>
      <c r="F1333" t="s">
        <v>414</v>
      </c>
      <c r="G1333">
        <v>35037</v>
      </c>
    </row>
    <row r="1334" spans="1:7" x14ac:dyDescent="0.35">
      <c r="A1334">
        <v>2025</v>
      </c>
      <c r="B1334">
        <v>2</v>
      </c>
      <c r="C1334" t="s">
        <v>504</v>
      </c>
      <c r="D1334" t="s">
        <v>45</v>
      </c>
      <c r="E1334" t="s">
        <v>276</v>
      </c>
      <c r="F1334" t="s">
        <v>456</v>
      </c>
      <c r="G1334">
        <v>43605</v>
      </c>
    </row>
    <row r="1335" spans="1:7" x14ac:dyDescent="0.35">
      <c r="A1335">
        <v>2025</v>
      </c>
      <c r="B1335">
        <v>2</v>
      </c>
      <c r="C1335" t="s">
        <v>504</v>
      </c>
      <c r="D1335" t="s">
        <v>76</v>
      </c>
      <c r="E1335" t="s">
        <v>236</v>
      </c>
      <c r="F1335" t="s">
        <v>415</v>
      </c>
      <c r="G1335">
        <v>2045494</v>
      </c>
    </row>
    <row r="1336" spans="1:7" x14ac:dyDescent="0.35">
      <c r="A1336">
        <v>2025</v>
      </c>
      <c r="B1336">
        <v>2</v>
      </c>
      <c r="C1336" t="s">
        <v>504</v>
      </c>
      <c r="D1336" t="s">
        <v>76</v>
      </c>
      <c r="E1336" t="s">
        <v>237</v>
      </c>
      <c r="F1336" t="s">
        <v>416</v>
      </c>
      <c r="G1336">
        <v>-16703.82</v>
      </c>
    </row>
    <row r="1337" spans="1:7" x14ac:dyDescent="0.35">
      <c r="A1337">
        <v>2025</v>
      </c>
      <c r="B1337">
        <v>2</v>
      </c>
      <c r="C1337" t="s">
        <v>504</v>
      </c>
      <c r="D1337" t="s">
        <v>76</v>
      </c>
      <c r="E1337" t="s">
        <v>238</v>
      </c>
      <c r="F1337" t="s">
        <v>417</v>
      </c>
      <c r="G1337">
        <v>185733.26</v>
      </c>
    </row>
    <row r="1338" spans="1:7" x14ac:dyDescent="0.35">
      <c r="A1338">
        <v>2025</v>
      </c>
      <c r="B1338">
        <v>2</v>
      </c>
      <c r="C1338" t="s">
        <v>504</v>
      </c>
      <c r="D1338" t="s">
        <v>76</v>
      </c>
      <c r="E1338" t="s">
        <v>239</v>
      </c>
      <c r="F1338" t="s">
        <v>418</v>
      </c>
      <c r="G1338">
        <v>-112585.35</v>
      </c>
    </row>
    <row r="1339" spans="1:7" x14ac:dyDescent="0.35">
      <c r="A1339">
        <v>2025</v>
      </c>
      <c r="B1339">
        <v>2</v>
      </c>
      <c r="C1339" t="s">
        <v>504</v>
      </c>
      <c r="D1339" t="s">
        <v>35</v>
      </c>
      <c r="E1339" t="s">
        <v>240</v>
      </c>
      <c r="F1339" t="s">
        <v>419</v>
      </c>
      <c r="G1339">
        <v>230313.8</v>
      </c>
    </row>
    <row r="1340" spans="1:7" x14ac:dyDescent="0.35">
      <c r="A1340">
        <v>2025</v>
      </c>
      <c r="B1340">
        <v>2</v>
      </c>
      <c r="C1340" t="s">
        <v>504</v>
      </c>
      <c r="D1340" t="s">
        <v>103</v>
      </c>
      <c r="E1340" t="s">
        <v>242</v>
      </c>
      <c r="F1340" t="s">
        <v>421</v>
      </c>
      <c r="G1340">
        <v>186038</v>
      </c>
    </row>
    <row r="1341" spans="1:7" x14ac:dyDescent="0.35">
      <c r="A1341">
        <v>2025</v>
      </c>
      <c r="B1341">
        <v>2</v>
      </c>
      <c r="C1341" t="s">
        <v>504</v>
      </c>
      <c r="D1341" t="s">
        <v>104</v>
      </c>
      <c r="E1341" t="s">
        <v>243</v>
      </c>
      <c r="F1341" t="s">
        <v>422</v>
      </c>
      <c r="G1341">
        <v>-112585</v>
      </c>
    </row>
    <row r="1342" spans="1:7" x14ac:dyDescent="0.35">
      <c r="A1342">
        <v>2025</v>
      </c>
      <c r="B1342">
        <v>2</v>
      </c>
      <c r="C1342" t="s">
        <v>504</v>
      </c>
      <c r="D1342" t="s">
        <v>244</v>
      </c>
      <c r="E1342" t="s">
        <v>245</v>
      </c>
      <c r="F1342" t="s">
        <v>423</v>
      </c>
      <c r="G1342">
        <v>-71189</v>
      </c>
    </row>
    <row r="1343" spans="1:7" x14ac:dyDescent="0.35">
      <c r="A1343">
        <v>2025</v>
      </c>
      <c r="B1343">
        <v>2</v>
      </c>
      <c r="C1343" t="s">
        <v>504</v>
      </c>
      <c r="D1343" t="s">
        <v>14</v>
      </c>
      <c r="E1343" t="s">
        <v>131</v>
      </c>
      <c r="F1343" t="s">
        <v>425</v>
      </c>
      <c r="G1343">
        <v>151712</v>
      </c>
    </row>
    <row r="1344" spans="1:7" x14ac:dyDescent="0.35">
      <c r="A1344">
        <v>2025</v>
      </c>
      <c r="B1344">
        <v>2</v>
      </c>
      <c r="C1344" t="s">
        <v>504</v>
      </c>
      <c r="D1344" t="s">
        <v>30</v>
      </c>
      <c r="E1344" t="s">
        <v>247</v>
      </c>
      <c r="F1344" t="s">
        <v>426</v>
      </c>
      <c r="G1344">
        <v>31332</v>
      </c>
    </row>
    <row r="1345" spans="1:7" x14ac:dyDescent="0.35">
      <c r="A1345">
        <v>2025</v>
      </c>
      <c r="B1345">
        <v>2</v>
      </c>
      <c r="C1345" t="s">
        <v>504</v>
      </c>
      <c r="D1345" t="s">
        <v>15</v>
      </c>
      <c r="E1345" t="s">
        <v>248</v>
      </c>
      <c r="F1345" t="s">
        <v>427</v>
      </c>
      <c r="G1345">
        <v>29905</v>
      </c>
    </row>
    <row r="1346" spans="1:7" x14ac:dyDescent="0.35">
      <c r="A1346">
        <v>2025</v>
      </c>
      <c r="B1346">
        <v>2</v>
      </c>
      <c r="C1346" t="s">
        <v>504</v>
      </c>
      <c r="D1346" t="s">
        <v>52</v>
      </c>
      <c r="E1346" t="s">
        <v>303</v>
      </c>
      <c r="F1346" t="s">
        <v>483</v>
      </c>
      <c r="G1346">
        <v>1890</v>
      </c>
    </row>
    <row r="1347" spans="1:7" x14ac:dyDescent="0.35">
      <c r="A1347">
        <v>2025</v>
      </c>
      <c r="B1347">
        <v>2</v>
      </c>
      <c r="C1347" t="s">
        <v>504</v>
      </c>
      <c r="D1347" t="s">
        <v>90</v>
      </c>
      <c r="E1347" t="s">
        <v>277</v>
      </c>
      <c r="F1347" t="s">
        <v>457</v>
      </c>
      <c r="G1347">
        <v>14876.03</v>
      </c>
    </row>
    <row r="1348" spans="1:7" x14ac:dyDescent="0.35">
      <c r="A1348">
        <v>2025</v>
      </c>
      <c r="B1348">
        <v>2</v>
      </c>
      <c r="C1348" t="s">
        <v>504</v>
      </c>
      <c r="D1348" t="s">
        <v>90</v>
      </c>
      <c r="E1348" t="s">
        <v>249</v>
      </c>
      <c r="F1348" t="s">
        <v>428</v>
      </c>
      <c r="G1348">
        <v>6032.6</v>
      </c>
    </row>
    <row r="1349" spans="1:7" x14ac:dyDescent="0.35">
      <c r="A1349">
        <v>2025</v>
      </c>
      <c r="B1349">
        <v>2</v>
      </c>
      <c r="C1349" t="s">
        <v>504</v>
      </c>
      <c r="D1349" t="s">
        <v>84</v>
      </c>
      <c r="E1349" t="s">
        <v>250</v>
      </c>
      <c r="F1349" t="s">
        <v>429</v>
      </c>
      <c r="G1349">
        <v>2232817.5</v>
      </c>
    </row>
    <row r="1350" spans="1:7" x14ac:dyDescent="0.35">
      <c r="A1350">
        <v>2025</v>
      </c>
      <c r="B1350">
        <v>2</v>
      </c>
      <c r="C1350" t="s">
        <v>504</v>
      </c>
      <c r="D1350" t="s">
        <v>81</v>
      </c>
      <c r="E1350" t="s">
        <v>252</v>
      </c>
      <c r="F1350" t="s">
        <v>431</v>
      </c>
      <c r="G1350">
        <v>362300</v>
      </c>
    </row>
    <row r="1351" spans="1:7" x14ac:dyDescent="0.35">
      <c r="A1351">
        <v>2025</v>
      </c>
      <c r="B1351">
        <v>2</v>
      </c>
      <c r="C1351" t="s">
        <v>504</v>
      </c>
      <c r="D1351" t="s">
        <v>81</v>
      </c>
      <c r="E1351" t="s">
        <v>289</v>
      </c>
      <c r="F1351" t="s">
        <v>471</v>
      </c>
      <c r="G1351">
        <v>648100</v>
      </c>
    </row>
    <row r="1352" spans="1:7" x14ac:dyDescent="0.35">
      <c r="A1352">
        <v>2025</v>
      </c>
      <c r="B1352">
        <v>2</v>
      </c>
      <c r="C1352" t="s">
        <v>504</v>
      </c>
      <c r="D1352" t="s">
        <v>44</v>
      </c>
      <c r="E1352" t="s">
        <v>253</v>
      </c>
      <c r="F1352" t="s">
        <v>432</v>
      </c>
      <c r="G1352">
        <v>80930</v>
      </c>
    </row>
    <row r="1353" spans="1:7" x14ac:dyDescent="0.35">
      <c r="A1353">
        <v>2025</v>
      </c>
      <c r="B1353">
        <v>2</v>
      </c>
      <c r="C1353" t="s">
        <v>504</v>
      </c>
      <c r="D1353" t="s">
        <v>16</v>
      </c>
      <c r="E1353" t="s">
        <v>254</v>
      </c>
      <c r="F1353" t="s">
        <v>433</v>
      </c>
      <c r="G1353">
        <v>42812</v>
      </c>
    </row>
    <row r="1354" spans="1:7" x14ac:dyDescent="0.35">
      <c r="A1354">
        <v>2025</v>
      </c>
      <c r="B1354">
        <v>2</v>
      </c>
      <c r="C1354" t="s">
        <v>504</v>
      </c>
      <c r="D1354" t="s">
        <v>37</v>
      </c>
      <c r="E1354" t="s">
        <v>256</v>
      </c>
      <c r="F1354" t="s">
        <v>435</v>
      </c>
      <c r="G1354">
        <v>-18810.2</v>
      </c>
    </row>
    <row r="1355" spans="1:7" x14ac:dyDescent="0.35">
      <c r="A1355">
        <v>2025</v>
      </c>
      <c r="B1355">
        <v>2</v>
      </c>
      <c r="C1355" t="s">
        <v>504</v>
      </c>
      <c r="D1355" t="s">
        <v>37</v>
      </c>
      <c r="E1355" t="s">
        <v>257</v>
      </c>
      <c r="F1355" t="s">
        <v>436</v>
      </c>
      <c r="G1355">
        <v>-2217256.31</v>
      </c>
    </row>
    <row r="1356" spans="1:7" x14ac:dyDescent="0.35">
      <c r="A1356">
        <v>2025</v>
      </c>
      <c r="B1356">
        <v>2</v>
      </c>
      <c r="C1356" t="s">
        <v>504</v>
      </c>
      <c r="D1356" t="s">
        <v>37</v>
      </c>
      <c r="E1356" t="s">
        <v>258</v>
      </c>
      <c r="F1356" t="s">
        <v>437</v>
      </c>
      <c r="G1356">
        <v>304.38</v>
      </c>
    </row>
    <row r="1357" spans="1:7" x14ac:dyDescent="0.35">
      <c r="A1357">
        <v>2025</v>
      </c>
      <c r="B1357">
        <v>2</v>
      </c>
      <c r="C1357" t="s">
        <v>504</v>
      </c>
      <c r="D1357" t="s">
        <v>18</v>
      </c>
      <c r="E1357" t="s">
        <v>259</v>
      </c>
      <c r="F1357" t="s">
        <v>438</v>
      </c>
      <c r="G1357">
        <v>18548</v>
      </c>
    </row>
    <row r="1358" spans="1:7" x14ac:dyDescent="0.35">
      <c r="A1358">
        <v>2025</v>
      </c>
      <c r="B1358">
        <v>3</v>
      </c>
      <c r="C1358" t="s">
        <v>485</v>
      </c>
      <c r="E1358" t="s">
        <v>291</v>
      </c>
      <c r="F1358" t="s">
        <v>474</v>
      </c>
      <c r="G1358">
        <v>-63053</v>
      </c>
    </row>
    <row r="1359" spans="1:7" x14ac:dyDescent="0.35">
      <c r="A1359">
        <v>2025</v>
      </c>
      <c r="B1359">
        <v>3</v>
      </c>
      <c r="C1359" t="s">
        <v>485</v>
      </c>
      <c r="E1359" t="s">
        <v>293</v>
      </c>
      <c r="F1359" t="s">
        <v>477</v>
      </c>
      <c r="G1359">
        <v>-22716</v>
      </c>
    </row>
    <row r="1360" spans="1:7" x14ac:dyDescent="0.35">
      <c r="A1360">
        <v>2025</v>
      </c>
      <c r="B1360">
        <v>3</v>
      </c>
      <c r="C1360" t="s">
        <v>485</v>
      </c>
      <c r="E1360" t="s">
        <v>132</v>
      </c>
      <c r="F1360" t="s">
        <v>312</v>
      </c>
      <c r="G1360">
        <v>0</v>
      </c>
    </row>
    <row r="1361" spans="1:7" x14ac:dyDescent="0.35">
      <c r="A1361">
        <v>2025</v>
      </c>
      <c r="B1361">
        <v>3</v>
      </c>
      <c r="C1361" t="s">
        <v>485</v>
      </c>
      <c r="D1361" t="s">
        <v>59</v>
      </c>
      <c r="E1361" t="s">
        <v>133</v>
      </c>
      <c r="F1361" t="s">
        <v>313</v>
      </c>
      <c r="G1361">
        <v>-76335</v>
      </c>
    </row>
    <row r="1362" spans="1:7" x14ac:dyDescent="0.35">
      <c r="A1362">
        <v>2025</v>
      </c>
      <c r="B1362">
        <v>3</v>
      </c>
      <c r="C1362" t="s">
        <v>485</v>
      </c>
      <c r="D1362" t="s">
        <v>38</v>
      </c>
      <c r="E1362" t="s">
        <v>122</v>
      </c>
      <c r="F1362" t="s">
        <v>314</v>
      </c>
      <c r="G1362">
        <v>-106833</v>
      </c>
    </row>
    <row r="1363" spans="1:7" x14ac:dyDescent="0.35">
      <c r="A1363">
        <v>2025</v>
      </c>
      <c r="B1363">
        <v>3</v>
      </c>
      <c r="C1363" t="s">
        <v>485</v>
      </c>
      <c r="D1363" t="s">
        <v>6</v>
      </c>
      <c r="E1363" t="s">
        <v>135</v>
      </c>
      <c r="F1363" t="s">
        <v>316</v>
      </c>
      <c r="G1363">
        <v>-223980</v>
      </c>
    </row>
    <row r="1364" spans="1:7" x14ac:dyDescent="0.35">
      <c r="A1364">
        <v>2025</v>
      </c>
      <c r="B1364">
        <v>3</v>
      </c>
      <c r="C1364" t="s">
        <v>485</v>
      </c>
      <c r="D1364" t="s">
        <v>6</v>
      </c>
      <c r="E1364" t="s">
        <v>136</v>
      </c>
      <c r="F1364" t="s">
        <v>317</v>
      </c>
      <c r="G1364">
        <v>-601839</v>
      </c>
    </row>
    <row r="1365" spans="1:7" x14ac:dyDescent="0.35">
      <c r="A1365">
        <v>2025</v>
      </c>
      <c r="B1365">
        <v>3</v>
      </c>
      <c r="C1365" t="s">
        <v>485</v>
      </c>
      <c r="D1365" t="s">
        <v>6</v>
      </c>
      <c r="E1365" t="s">
        <v>137</v>
      </c>
      <c r="F1365" t="s">
        <v>318</v>
      </c>
      <c r="G1365">
        <v>-489233</v>
      </c>
    </row>
    <row r="1366" spans="1:7" x14ac:dyDescent="0.35">
      <c r="A1366">
        <v>2025</v>
      </c>
      <c r="B1366">
        <v>3</v>
      </c>
      <c r="C1366" t="s">
        <v>485</v>
      </c>
      <c r="D1366" t="s">
        <v>6</v>
      </c>
      <c r="E1366" t="s">
        <v>138</v>
      </c>
      <c r="F1366" t="s">
        <v>319</v>
      </c>
      <c r="G1366">
        <v>-427938</v>
      </c>
    </row>
    <row r="1367" spans="1:7" x14ac:dyDescent="0.35">
      <c r="A1367">
        <v>2025</v>
      </c>
      <c r="B1367">
        <v>3</v>
      </c>
      <c r="C1367" t="s">
        <v>485</v>
      </c>
      <c r="D1367" t="s">
        <v>533</v>
      </c>
      <c r="E1367" t="s">
        <v>533</v>
      </c>
      <c r="F1367" t="s">
        <v>534</v>
      </c>
      <c r="G1367">
        <v>0</v>
      </c>
    </row>
    <row r="1368" spans="1:7" x14ac:dyDescent="0.35">
      <c r="A1368">
        <v>2025</v>
      </c>
      <c r="B1368">
        <v>3</v>
      </c>
      <c r="C1368" t="s">
        <v>485</v>
      </c>
      <c r="D1368" t="s">
        <v>535</v>
      </c>
      <c r="E1368" t="s">
        <v>535</v>
      </c>
      <c r="F1368" t="s">
        <v>536</v>
      </c>
      <c r="G1368">
        <v>0</v>
      </c>
    </row>
    <row r="1369" spans="1:7" x14ac:dyDescent="0.35">
      <c r="A1369">
        <v>2025</v>
      </c>
      <c r="B1369">
        <v>3</v>
      </c>
      <c r="C1369" t="s">
        <v>485</v>
      </c>
      <c r="D1369" t="s">
        <v>62</v>
      </c>
      <c r="E1369" t="s">
        <v>260</v>
      </c>
      <c r="F1369" t="s">
        <v>440</v>
      </c>
      <c r="G1369">
        <v>-188062</v>
      </c>
    </row>
    <row r="1370" spans="1:7" x14ac:dyDescent="0.35">
      <c r="A1370">
        <v>2025</v>
      </c>
      <c r="B1370">
        <v>3</v>
      </c>
      <c r="C1370" t="s">
        <v>485</v>
      </c>
      <c r="D1370" t="s">
        <v>62</v>
      </c>
      <c r="E1370" t="s">
        <v>288</v>
      </c>
      <c r="F1370" t="s">
        <v>470</v>
      </c>
      <c r="G1370">
        <v>-40382</v>
      </c>
    </row>
    <row r="1371" spans="1:7" x14ac:dyDescent="0.35">
      <c r="A1371">
        <v>2025</v>
      </c>
      <c r="B1371">
        <v>3</v>
      </c>
      <c r="C1371" t="s">
        <v>485</v>
      </c>
      <c r="D1371" t="s">
        <v>62</v>
      </c>
      <c r="E1371" t="s">
        <v>139</v>
      </c>
      <c r="F1371" t="s">
        <v>320</v>
      </c>
      <c r="G1371">
        <v>-2131</v>
      </c>
    </row>
    <row r="1372" spans="1:7" x14ac:dyDescent="0.35">
      <c r="A1372">
        <v>2025</v>
      </c>
      <c r="B1372">
        <v>3</v>
      </c>
      <c r="C1372" t="s">
        <v>485</v>
      </c>
      <c r="D1372" t="s">
        <v>62</v>
      </c>
      <c r="E1372" t="s">
        <v>261</v>
      </c>
      <c r="F1372" t="s">
        <v>441</v>
      </c>
      <c r="G1372">
        <v>-14761</v>
      </c>
    </row>
    <row r="1373" spans="1:7" x14ac:dyDescent="0.35">
      <c r="A1373">
        <v>2025</v>
      </c>
      <c r="B1373">
        <v>3</v>
      </c>
      <c r="C1373" t="s">
        <v>485</v>
      </c>
      <c r="D1373" t="s">
        <v>62</v>
      </c>
      <c r="E1373" t="s">
        <v>140</v>
      </c>
      <c r="F1373" t="s">
        <v>321</v>
      </c>
      <c r="G1373">
        <v>-3800</v>
      </c>
    </row>
    <row r="1374" spans="1:7" x14ac:dyDescent="0.35">
      <c r="A1374">
        <v>2025</v>
      </c>
      <c r="B1374">
        <v>3</v>
      </c>
      <c r="C1374" t="s">
        <v>485</v>
      </c>
      <c r="D1374" t="s">
        <v>62</v>
      </c>
      <c r="E1374" t="s">
        <v>141</v>
      </c>
      <c r="F1374" t="s">
        <v>322</v>
      </c>
      <c r="G1374">
        <v>-1864</v>
      </c>
    </row>
    <row r="1375" spans="1:7" x14ac:dyDescent="0.35">
      <c r="A1375">
        <v>2025</v>
      </c>
      <c r="B1375">
        <v>3</v>
      </c>
      <c r="C1375" t="s">
        <v>485</v>
      </c>
      <c r="D1375" t="s">
        <v>19</v>
      </c>
      <c r="E1375" t="s">
        <v>142</v>
      </c>
      <c r="F1375" t="s">
        <v>323</v>
      </c>
      <c r="G1375">
        <v>-9612</v>
      </c>
    </row>
    <row r="1376" spans="1:7" x14ac:dyDescent="0.35">
      <c r="A1376">
        <v>2025</v>
      </c>
      <c r="B1376">
        <v>3</v>
      </c>
      <c r="C1376" t="s">
        <v>485</v>
      </c>
      <c r="D1376" t="s">
        <v>31</v>
      </c>
      <c r="E1376" t="s">
        <v>143</v>
      </c>
      <c r="F1376" t="s">
        <v>324</v>
      </c>
      <c r="G1376">
        <v>-2530140</v>
      </c>
    </row>
    <row r="1377" spans="1:7" x14ac:dyDescent="0.35">
      <c r="A1377">
        <v>2025</v>
      </c>
      <c r="B1377">
        <v>3</v>
      </c>
      <c r="C1377" t="s">
        <v>485</v>
      </c>
      <c r="D1377" t="s">
        <v>91</v>
      </c>
      <c r="E1377" t="s">
        <v>525</v>
      </c>
      <c r="F1377" t="s">
        <v>526</v>
      </c>
      <c r="G1377">
        <v>-126000</v>
      </c>
    </row>
    <row r="1378" spans="1:7" x14ac:dyDescent="0.35">
      <c r="A1378">
        <v>2025</v>
      </c>
      <c r="B1378">
        <v>3</v>
      </c>
      <c r="C1378" t="s">
        <v>485</v>
      </c>
      <c r="D1378" t="s">
        <v>91</v>
      </c>
      <c r="E1378" t="s">
        <v>300</v>
      </c>
      <c r="F1378" t="s">
        <v>469</v>
      </c>
      <c r="G1378">
        <v>-299250</v>
      </c>
    </row>
    <row r="1379" spans="1:7" x14ac:dyDescent="0.35">
      <c r="A1379">
        <v>2025</v>
      </c>
      <c r="B1379">
        <v>3</v>
      </c>
      <c r="C1379" t="s">
        <v>485</v>
      </c>
      <c r="D1379" t="s">
        <v>91</v>
      </c>
      <c r="E1379" t="s">
        <v>497</v>
      </c>
      <c r="F1379" t="s">
        <v>498</v>
      </c>
      <c r="G1379">
        <v>-594450.94999999995</v>
      </c>
    </row>
    <row r="1380" spans="1:7" x14ac:dyDescent="0.35">
      <c r="A1380">
        <v>2025</v>
      </c>
      <c r="B1380">
        <v>3</v>
      </c>
      <c r="C1380" t="s">
        <v>485</v>
      </c>
      <c r="D1380" t="s">
        <v>91</v>
      </c>
      <c r="E1380" t="s">
        <v>502</v>
      </c>
      <c r="F1380" t="s">
        <v>503</v>
      </c>
      <c r="G1380">
        <v>-75000</v>
      </c>
    </row>
    <row r="1381" spans="1:7" x14ac:dyDescent="0.35">
      <c r="A1381">
        <v>2025</v>
      </c>
      <c r="B1381">
        <v>3</v>
      </c>
      <c r="C1381" t="s">
        <v>485</v>
      </c>
      <c r="D1381" t="s">
        <v>91</v>
      </c>
      <c r="E1381" t="s">
        <v>521</v>
      </c>
      <c r="F1381" t="s">
        <v>522</v>
      </c>
      <c r="G1381">
        <v>-972125.95</v>
      </c>
    </row>
    <row r="1382" spans="1:7" x14ac:dyDescent="0.35">
      <c r="A1382">
        <v>2025</v>
      </c>
      <c r="B1382">
        <v>3</v>
      </c>
      <c r="C1382" t="s">
        <v>485</v>
      </c>
      <c r="D1382" t="s">
        <v>91</v>
      </c>
      <c r="E1382" t="s">
        <v>523</v>
      </c>
      <c r="F1382" t="s">
        <v>524</v>
      </c>
      <c r="G1382">
        <v>-385999.2</v>
      </c>
    </row>
    <row r="1383" spans="1:7" x14ac:dyDescent="0.35">
      <c r="A1383">
        <v>2025</v>
      </c>
      <c r="B1383">
        <v>3</v>
      </c>
      <c r="C1383" t="s">
        <v>485</v>
      </c>
      <c r="D1383" t="s">
        <v>91</v>
      </c>
      <c r="E1383" t="s">
        <v>531</v>
      </c>
      <c r="F1383" t="s">
        <v>532</v>
      </c>
      <c r="G1383">
        <v>-70766.52</v>
      </c>
    </row>
    <row r="1384" spans="1:7" x14ac:dyDescent="0.35">
      <c r="A1384">
        <v>2025</v>
      </c>
      <c r="B1384">
        <v>3</v>
      </c>
      <c r="C1384" t="s">
        <v>485</v>
      </c>
      <c r="D1384" t="s">
        <v>91</v>
      </c>
      <c r="E1384" t="s">
        <v>537</v>
      </c>
      <c r="F1384" t="s">
        <v>538</v>
      </c>
      <c r="G1384">
        <v>0</v>
      </c>
    </row>
    <row r="1385" spans="1:7" x14ac:dyDescent="0.35">
      <c r="A1385">
        <v>2025</v>
      </c>
      <c r="B1385">
        <v>3</v>
      </c>
      <c r="C1385" t="s">
        <v>485</v>
      </c>
      <c r="D1385" t="s">
        <v>26</v>
      </c>
      <c r="E1385" t="s">
        <v>144</v>
      </c>
      <c r="F1385" t="s">
        <v>325</v>
      </c>
      <c r="G1385">
        <v>-178136</v>
      </c>
    </row>
    <row r="1386" spans="1:7" x14ac:dyDescent="0.35">
      <c r="A1386">
        <v>2025</v>
      </c>
      <c r="B1386">
        <v>3</v>
      </c>
      <c r="C1386" t="s">
        <v>485</v>
      </c>
      <c r="D1386" t="s">
        <v>41</v>
      </c>
      <c r="E1386" t="s">
        <v>145</v>
      </c>
      <c r="F1386" t="s">
        <v>326</v>
      </c>
      <c r="G1386">
        <v>-167910</v>
      </c>
    </row>
    <row r="1387" spans="1:7" x14ac:dyDescent="0.35">
      <c r="A1387">
        <v>2025</v>
      </c>
      <c r="B1387">
        <v>3</v>
      </c>
      <c r="C1387" t="s">
        <v>485</v>
      </c>
      <c r="D1387" t="s">
        <v>42</v>
      </c>
      <c r="E1387" t="s">
        <v>146</v>
      </c>
      <c r="F1387" t="s">
        <v>327</v>
      </c>
      <c r="G1387">
        <v>-52922</v>
      </c>
    </row>
    <row r="1388" spans="1:7" x14ac:dyDescent="0.35">
      <c r="A1388">
        <v>2025</v>
      </c>
      <c r="B1388">
        <v>3</v>
      </c>
      <c r="C1388" t="s">
        <v>485</v>
      </c>
      <c r="D1388" t="s">
        <v>7</v>
      </c>
      <c r="E1388" t="s">
        <v>147</v>
      </c>
      <c r="F1388" t="s">
        <v>328</v>
      </c>
      <c r="G1388">
        <v>-610712</v>
      </c>
    </row>
    <row r="1389" spans="1:7" x14ac:dyDescent="0.35">
      <c r="A1389">
        <v>2025</v>
      </c>
      <c r="B1389">
        <v>3</v>
      </c>
      <c r="C1389" t="s">
        <v>485</v>
      </c>
      <c r="D1389" t="s">
        <v>67</v>
      </c>
      <c r="E1389" t="s">
        <v>148</v>
      </c>
      <c r="F1389" t="s">
        <v>329</v>
      </c>
      <c r="G1389">
        <v>-26517</v>
      </c>
    </row>
    <row r="1390" spans="1:7" x14ac:dyDescent="0.35">
      <c r="A1390">
        <v>2025</v>
      </c>
      <c r="B1390">
        <v>3</v>
      </c>
      <c r="C1390" t="s">
        <v>485</v>
      </c>
      <c r="D1390" t="s">
        <v>67</v>
      </c>
      <c r="E1390" t="s">
        <v>149</v>
      </c>
      <c r="F1390" t="s">
        <v>330</v>
      </c>
      <c r="G1390">
        <v>-75243</v>
      </c>
    </row>
    <row r="1391" spans="1:7" x14ac:dyDescent="0.35">
      <c r="A1391">
        <v>2025</v>
      </c>
      <c r="B1391">
        <v>3</v>
      </c>
      <c r="C1391" t="s">
        <v>485</v>
      </c>
      <c r="D1391" t="s">
        <v>67</v>
      </c>
      <c r="E1391" t="s">
        <v>539</v>
      </c>
      <c r="F1391" t="s">
        <v>540</v>
      </c>
      <c r="G1391">
        <v>0</v>
      </c>
    </row>
    <row r="1392" spans="1:7" x14ac:dyDescent="0.35">
      <c r="A1392">
        <v>2025</v>
      </c>
      <c r="B1392">
        <v>3</v>
      </c>
      <c r="C1392" t="s">
        <v>485</v>
      </c>
      <c r="D1392" t="s">
        <v>67</v>
      </c>
      <c r="E1392" t="s">
        <v>150</v>
      </c>
      <c r="F1392" t="s">
        <v>331</v>
      </c>
      <c r="G1392">
        <v>-1061289</v>
      </c>
    </row>
    <row r="1393" spans="1:7" x14ac:dyDescent="0.35">
      <c r="A1393">
        <v>2025</v>
      </c>
      <c r="B1393">
        <v>3</v>
      </c>
      <c r="C1393" t="s">
        <v>485</v>
      </c>
      <c r="D1393" t="s">
        <v>67</v>
      </c>
      <c r="E1393" t="s">
        <v>151</v>
      </c>
      <c r="F1393" t="s">
        <v>332</v>
      </c>
      <c r="G1393">
        <v>-165804</v>
      </c>
    </row>
    <row r="1394" spans="1:7" x14ac:dyDescent="0.35">
      <c r="A1394">
        <v>2025</v>
      </c>
      <c r="B1394">
        <v>3</v>
      </c>
      <c r="C1394" t="s">
        <v>485</v>
      </c>
      <c r="D1394" t="s">
        <v>67</v>
      </c>
      <c r="E1394" t="s">
        <v>152</v>
      </c>
      <c r="F1394" t="s">
        <v>333</v>
      </c>
      <c r="G1394">
        <v>-199608</v>
      </c>
    </row>
    <row r="1395" spans="1:7" x14ac:dyDescent="0.35">
      <c r="A1395">
        <v>2025</v>
      </c>
      <c r="B1395">
        <v>3</v>
      </c>
      <c r="C1395" t="s">
        <v>485</v>
      </c>
      <c r="D1395" t="s">
        <v>93</v>
      </c>
      <c r="E1395" t="s">
        <v>153</v>
      </c>
      <c r="F1395" t="s">
        <v>334</v>
      </c>
      <c r="G1395">
        <v>-949855.48</v>
      </c>
    </row>
    <row r="1396" spans="1:7" x14ac:dyDescent="0.35">
      <c r="A1396">
        <v>2025</v>
      </c>
      <c r="B1396">
        <v>3</v>
      </c>
      <c r="C1396" t="s">
        <v>485</v>
      </c>
      <c r="D1396" t="s">
        <v>93</v>
      </c>
      <c r="E1396" t="s">
        <v>154</v>
      </c>
      <c r="F1396" t="s">
        <v>335</v>
      </c>
      <c r="G1396">
        <v>-661562.77</v>
      </c>
    </row>
    <row r="1397" spans="1:7" x14ac:dyDescent="0.35">
      <c r="A1397">
        <v>2025</v>
      </c>
      <c r="B1397">
        <v>3</v>
      </c>
      <c r="C1397" t="s">
        <v>485</v>
      </c>
      <c r="D1397" t="s">
        <v>93</v>
      </c>
      <c r="E1397" t="s">
        <v>281</v>
      </c>
      <c r="F1397" t="s">
        <v>461</v>
      </c>
      <c r="G1397">
        <v>-117497.3</v>
      </c>
    </row>
    <row r="1398" spans="1:7" x14ac:dyDescent="0.35">
      <c r="A1398">
        <v>2025</v>
      </c>
      <c r="B1398">
        <v>3</v>
      </c>
      <c r="C1398" t="s">
        <v>485</v>
      </c>
      <c r="D1398" t="s">
        <v>89</v>
      </c>
      <c r="E1398" t="s">
        <v>155</v>
      </c>
      <c r="F1398" t="s">
        <v>336</v>
      </c>
      <c r="G1398">
        <v>629052.68000000005</v>
      </c>
    </row>
    <row r="1399" spans="1:7" x14ac:dyDescent="0.35">
      <c r="A1399">
        <v>2025</v>
      </c>
      <c r="B1399">
        <v>3</v>
      </c>
      <c r="C1399" t="s">
        <v>485</v>
      </c>
      <c r="D1399" t="s">
        <v>89</v>
      </c>
      <c r="E1399" t="s">
        <v>156</v>
      </c>
      <c r="F1399" t="s">
        <v>337</v>
      </c>
      <c r="G1399">
        <v>-3063003.94</v>
      </c>
    </row>
    <row r="1400" spans="1:7" x14ac:dyDescent="0.35">
      <c r="A1400">
        <v>2025</v>
      </c>
      <c r="B1400">
        <v>3</v>
      </c>
      <c r="C1400" t="s">
        <v>485</v>
      </c>
      <c r="D1400" t="s">
        <v>61</v>
      </c>
      <c r="E1400" t="s">
        <v>262</v>
      </c>
      <c r="F1400" t="s">
        <v>442</v>
      </c>
      <c r="G1400">
        <v>-130125</v>
      </c>
    </row>
    <row r="1401" spans="1:7" x14ac:dyDescent="0.35">
      <c r="A1401">
        <v>2025</v>
      </c>
      <c r="B1401">
        <v>3</v>
      </c>
      <c r="C1401" t="s">
        <v>485</v>
      </c>
      <c r="D1401" t="s">
        <v>8</v>
      </c>
      <c r="E1401" t="s">
        <v>157</v>
      </c>
      <c r="F1401" t="s">
        <v>338</v>
      </c>
      <c r="G1401">
        <v>-39681</v>
      </c>
    </row>
    <row r="1402" spans="1:7" x14ac:dyDescent="0.35">
      <c r="A1402">
        <v>2025</v>
      </c>
      <c r="B1402">
        <v>3</v>
      </c>
      <c r="C1402" t="s">
        <v>485</v>
      </c>
      <c r="D1402" t="s">
        <v>487</v>
      </c>
      <c r="E1402" t="s">
        <v>488</v>
      </c>
      <c r="F1402" t="s">
        <v>489</v>
      </c>
      <c r="G1402">
        <v>-2750</v>
      </c>
    </row>
    <row r="1403" spans="1:7" x14ac:dyDescent="0.35">
      <c r="A1403">
        <v>2025</v>
      </c>
      <c r="B1403">
        <v>3</v>
      </c>
      <c r="C1403" t="s">
        <v>485</v>
      </c>
      <c r="D1403" t="s">
        <v>20</v>
      </c>
      <c r="E1403" t="s">
        <v>158</v>
      </c>
      <c r="F1403" t="s">
        <v>339</v>
      </c>
      <c r="G1403">
        <v>-9904479</v>
      </c>
    </row>
    <row r="1404" spans="1:7" x14ac:dyDescent="0.35">
      <c r="A1404">
        <v>2025</v>
      </c>
      <c r="B1404">
        <v>3</v>
      </c>
      <c r="C1404" t="s">
        <v>485</v>
      </c>
      <c r="D1404" t="s">
        <v>21</v>
      </c>
      <c r="E1404" t="s">
        <v>159</v>
      </c>
      <c r="F1404" t="s">
        <v>340</v>
      </c>
      <c r="G1404">
        <v>-2191107</v>
      </c>
    </row>
    <row r="1405" spans="1:7" x14ac:dyDescent="0.35">
      <c r="A1405">
        <v>2025</v>
      </c>
      <c r="B1405">
        <v>3</v>
      </c>
      <c r="C1405" t="s">
        <v>485</v>
      </c>
      <c r="D1405" t="s">
        <v>160</v>
      </c>
      <c r="E1405" t="s">
        <v>161</v>
      </c>
      <c r="F1405" t="s">
        <v>341</v>
      </c>
      <c r="G1405">
        <v>-931181</v>
      </c>
    </row>
    <row r="1406" spans="1:7" x14ac:dyDescent="0.35">
      <c r="A1406">
        <v>2025</v>
      </c>
      <c r="B1406">
        <v>3</v>
      </c>
      <c r="C1406" t="s">
        <v>485</v>
      </c>
      <c r="D1406" t="s">
        <v>32</v>
      </c>
      <c r="E1406" t="s">
        <v>162</v>
      </c>
      <c r="F1406" t="s">
        <v>342</v>
      </c>
      <c r="G1406">
        <v>-74977</v>
      </c>
    </row>
    <row r="1407" spans="1:7" x14ac:dyDescent="0.35">
      <c r="A1407">
        <v>2025</v>
      </c>
      <c r="B1407">
        <v>3</v>
      </c>
      <c r="C1407" t="s">
        <v>485</v>
      </c>
      <c r="D1407" t="s">
        <v>163</v>
      </c>
      <c r="E1407" t="s">
        <v>164</v>
      </c>
      <c r="F1407" t="s">
        <v>343</v>
      </c>
      <c r="G1407">
        <v>0</v>
      </c>
    </row>
    <row r="1408" spans="1:7" x14ac:dyDescent="0.35">
      <c r="A1408">
        <v>2025</v>
      </c>
      <c r="B1408">
        <v>3</v>
      </c>
      <c r="C1408" t="s">
        <v>485</v>
      </c>
      <c r="D1408" t="s">
        <v>22</v>
      </c>
      <c r="E1408" t="s">
        <v>165</v>
      </c>
      <c r="F1408" t="s">
        <v>344</v>
      </c>
      <c r="G1408">
        <v>-52515</v>
      </c>
    </row>
    <row r="1409" spans="1:7" x14ac:dyDescent="0.35">
      <c r="A1409">
        <v>2025</v>
      </c>
      <c r="B1409">
        <v>3</v>
      </c>
      <c r="C1409" t="s">
        <v>485</v>
      </c>
      <c r="D1409" t="s">
        <v>27</v>
      </c>
      <c r="E1409" t="s">
        <v>166</v>
      </c>
      <c r="F1409" t="s">
        <v>345</v>
      </c>
      <c r="G1409">
        <v>-546310</v>
      </c>
    </row>
    <row r="1410" spans="1:7" x14ac:dyDescent="0.35">
      <c r="A1410">
        <v>2025</v>
      </c>
      <c r="B1410">
        <v>3</v>
      </c>
      <c r="C1410" t="s">
        <v>485</v>
      </c>
      <c r="D1410" t="s">
        <v>167</v>
      </c>
      <c r="E1410" t="s">
        <v>167</v>
      </c>
      <c r="F1410" t="s">
        <v>346</v>
      </c>
      <c r="G1410">
        <v>-7137745</v>
      </c>
    </row>
    <row r="1411" spans="1:7" x14ac:dyDescent="0.35">
      <c r="A1411">
        <v>2025</v>
      </c>
      <c r="B1411">
        <v>3</v>
      </c>
      <c r="C1411" t="s">
        <v>485</v>
      </c>
      <c r="D1411" t="s">
        <v>9</v>
      </c>
      <c r="E1411" t="s">
        <v>168</v>
      </c>
      <c r="F1411" t="s">
        <v>347</v>
      </c>
      <c r="G1411">
        <v>-85714</v>
      </c>
    </row>
    <row r="1412" spans="1:7" x14ac:dyDescent="0.35">
      <c r="A1412">
        <v>2025</v>
      </c>
      <c r="B1412">
        <v>3</v>
      </c>
      <c r="C1412" t="s">
        <v>485</v>
      </c>
      <c r="D1412" t="s">
        <v>9</v>
      </c>
      <c r="E1412" t="s">
        <v>169</v>
      </c>
      <c r="F1412" t="s">
        <v>348</v>
      </c>
      <c r="G1412">
        <v>-127036</v>
      </c>
    </row>
    <row r="1413" spans="1:7" x14ac:dyDescent="0.35">
      <c r="A1413">
        <v>2025</v>
      </c>
      <c r="B1413">
        <v>3</v>
      </c>
      <c r="C1413" t="s">
        <v>485</v>
      </c>
      <c r="D1413" t="s">
        <v>72</v>
      </c>
      <c r="E1413" t="s">
        <v>170</v>
      </c>
      <c r="F1413" t="s">
        <v>349</v>
      </c>
      <c r="G1413">
        <v>-1057187</v>
      </c>
    </row>
    <row r="1414" spans="1:7" x14ac:dyDescent="0.35">
      <c r="A1414">
        <v>2025</v>
      </c>
      <c r="B1414">
        <v>3</v>
      </c>
      <c r="C1414" t="s">
        <v>485</v>
      </c>
      <c r="D1414" t="s">
        <v>39</v>
      </c>
      <c r="E1414" t="s">
        <v>171</v>
      </c>
      <c r="F1414" t="s">
        <v>350</v>
      </c>
      <c r="G1414">
        <v>-116576</v>
      </c>
    </row>
    <row r="1415" spans="1:7" x14ac:dyDescent="0.35">
      <c r="A1415">
        <v>2025</v>
      </c>
      <c r="B1415">
        <v>3</v>
      </c>
      <c r="C1415" t="s">
        <v>485</v>
      </c>
      <c r="D1415" t="s">
        <v>10</v>
      </c>
      <c r="E1415" t="s">
        <v>172</v>
      </c>
      <c r="F1415" t="s">
        <v>351</v>
      </c>
      <c r="G1415">
        <v>-182061</v>
      </c>
    </row>
    <row r="1416" spans="1:7" x14ac:dyDescent="0.35">
      <c r="A1416">
        <v>2025</v>
      </c>
      <c r="B1416">
        <v>3</v>
      </c>
      <c r="C1416" t="s">
        <v>485</v>
      </c>
      <c r="D1416" t="s">
        <v>10</v>
      </c>
      <c r="E1416" t="s">
        <v>499</v>
      </c>
      <c r="F1416" t="s">
        <v>500</v>
      </c>
      <c r="G1416">
        <v>-20500</v>
      </c>
    </row>
    <row r="1417" spans="1:7" x14ac:dyDescent="0.35">
      <c r="A1417">
        <v>2025</v>
      </c>
      <c r="B1417">
        <v>3</v>
      </c>
      <c r="C1417" t="s">
        <v>485</v>
      </c>
      <c r="D1417" t="s">
        <v>66</v>
      </c>
      <c r="E1417" t="s">
        <v>173</v>
      </c>
      <c r="F1417" t="s">
        <v>352</v>
      </c>
      <c r="G1417">
        <v>-4731876</v>
      </c>
    </row>
    <row r="1418" spans="1:7" x14ac:dyDescent="0.35">
      <c r="A1418">
        <v>2025</v>
      </c>
      <c r="B1418">
        <v>3</v>
      </c>
      <c r="C1418" t="s">
        <v>485</v>
      </c>
      <c r="D1418" t="s">
        <v>66</v>
      </c>
      <c r="E1418" t="s">
        <v>174</v>
      </c>
      <c r="F1418" t="s">
        <v>353</v>
      </c>
      <c r="G1418">
        <v>-457095</v>
      </c>
    </row>
    <row r="1419" spans="1:7" x14ac:dyDescent="0.35">
      <c r="A1419">
        <v>2025</v>
      </c>
      <c r="B1419">
        <v>3</v>
      </c>
      <c r="C1419" t="s">
        <v>485</v>
      </c>
      <c r="D1419" t="s">
        <v>66</v>
      </c>
      <c r="E1419" t="s">
        <v>175</v>
      </c>
      <c r="F1419" t="s">
        <v>354</v>
      </c>
      <c r="G1419">
        <v>-6097</v>
      </c>
    </row>
    <row r="1420" spans="1:7" x14ac:dyDescent="0.35">
      <c r="A1420">
        <v>2025</v>
      </c>
      <c r="B1420">
        <v>3</v>
      </c>
      <c r="C1420" t="s">
        <v>485</v>
      </c>
      <c r="D1420" t="s">
        <v>66</v>
      </c>
      <c r="E1420" t="s">
        <v>176</v>
      </c>
      <c r="F1420" t="s">
        <v>355</v>
      </c>
      <c r="G1420">
        <v>-482627</v>
      </c>
    </row>
    <row r="1421" spans="1:7" x14ac:dyDescent="0.35">
      <c r="A1421">
        <v>2025</v>
      </c>
      <c r="B1421">
        <v>3</v>
      </c>
      <c r="C1421" t="s">
        <v>485</v>
      </c>
      <c r="D1421" t="s">
        <v>66</v>
      </c>
      <c r="E1421" t="s">
        <v>177</v>
      </c>
      <c r="F1421" t="s">
        <v>356</v>
      </c>
      <c r="G1421">
        <v>-688335</v>
      </c>
    </row>
    <row r="1422" spans="1:7" x14ac:dyDescent="0.35">
      <c r="A1422">
        <v>2025</v>
      </c>
      <c r="B1422">
        <v>3</v>
      </c>
      <c r="C1422" t="s">
        <v>485</v>
      </c>
      <c r="D1422" t="s">
        <v>66</v>
      </c>
      <c r="E1422" t="s">
        <v>178</v>
      </c>
      <c r="F1422" t="s">
        <v>357</v>
      </c>
      <c r="G1422">
        <v>-73469</v>
      </c>
    </row>
    <row r="1423" spans="1:7" x14ac:dyDescent="0.35">
      <c r="A1423">
        <v>2025</v>
      </c>
      <c r="B1423">
        <v>3</v>
      </c>
      <c r="C1423" t="s">
        <v>485</v>
      </c>
      <c r="D1423" t="s">
        <v>66</v>
      </c>
      <c r="E1423" t="s">
        <v>541</v>
      </c>
      <c r="F1423" t="s">
        <v>542</v>
      </c>
      <c r="G1423">
        <v>0</v>
      </c>
    </row>
    <row r="1424" spans="1:7" x14ac:dyDescent="0.35">
      <c r="A1424">
        <v>2025</v>
      </c>
      <c r="B1424">
        <v>3</v>
      </c>
      <c r="C1424" t="s">
        <v>485</v>
      </c>
      <c r="D1424" t="s">
        <v>66</v>
      </c>
      <c r="E1424" t="s">
        <v>263</v>
      </c>
      <c r="F1424" t="s">
        <v>443</v>
      </c>
      <c r="G1424">
        <v>0</v>
      </c>
    </row>
    <row r="1425" spans="1:7" x14ac:dyDescent="0.35">
      <c r="A1425">
        <v>2025</v>
      </c>
      <c r="B1425">
        <v>3</v>
      </c>
      <c r="C1425" t="s">
        <v>485</v>
      </c>
      <c r="D1425" t="s">
        <v>11</v>
      </c>
      <c r="E1425" t="s">
        <v>179</v>
      </c>
      <c r="F1425" t="s">
        <v>180</v>
      </c>
      <c r="G1425">
        <v>-257611</v>
      </c>
    </row>
    <row r="1426" spans="1:7" x14ac:dyDescent="0.35">
      <c r="A1426">
        <v>2025</v>
      </c>
      <c r="B1426">
        <v>3</v>
      </c>
      <c r="C1426" t="s">
        <v>485</v>
      </c>
      <c r="D1426" t="s">
        <v>11</v>
      </c>
      <c r="E1426" t="s">
        <v>292</v>
      </c>
      <c r="F1426" t="s">
        <v>475</v>
      </c>
      <c r="G1426">
        <v>-2268</v>
      </c>
    </row>
    <row r="1427" spans="1:7" x14ac:dyDescent="0.35">
      <c r="A1427">
        <v>2025</v>
      </c>
      <c r="B1427">
        <v>3</v>
      </c>
      <c r="C1427" t="s">
        <v>485</v>
      </c>
      <c r="D1427" t="s">
        <v>543</v>
      </c>
      <c r="E1427" t="s">
        <v>544</v>
      </c>
      <c r="F1427" t="s">
        <v>545</v>
      </c>
      <c r="G1427">
        <v>0</v>
      </c>
    </row>
    <row r="1428" spans="1:7" x14ac:dyDescent="0.35">
      <c r="A1428">
        <v>2025</v>
      </c>
      <c r="B1428">
        <v>3</v>
      </c>
      <c r="C1428" t="s">
        <v>485</v>
      </c>
      <c r="D1428" t="s">
        <v>181</v>
      </c>
      <c r="E1428" t="s">
        <v>181</v>
      </c>
      <c r="F1428" t="s">
        <v>358</v>
      </c>
      <c r="G1428">
        <v>724082</v>
      </c>
    </row>
    <row r="1429" spans="1:7" x14ac:dyDescent="0.35">
      <c r="A1429">
        <v>2025</v>
      </c>
      <c r="B1429">
        <v>3</v>
      </c>
      <c r="C1429" t="s">
        <v>485</v>
      </c>
      <c r="D1429" t="s">
        <v>182</v>
      </c>
      <c r="E1429" t="s">
        <v>182</v>
      </c>
      <c r="F1429" t="s">
        <v>359</v>
      </c>
      <c r="G1429">
        <v>3728511</v>
      </c>
    </row>
    <row r="1430" spans="1:7" x14ac:dyDescent="0.35">
      <c r="A1430">
        <v>2025</v>
      </c>
      <c r="B1430">
        <v>3</v>
      </c>
      <c r="C1430" t="s">
        <v>485</v>
      </c>
      <c r="D1430" t="s">
        <v>74</v>
      </c>
      <c r="E1430" t="s">
        <v>205</v>
      </c>
      <c r="F1430" t="s">
        <v>384</v>
      </c>
      <c r="G1430">
        <v>-83205</v>
      </c>
    </row>
    <row r="1431" spans="1:7" x14ac:dyDescent="0.35">
      <c r="A1431">
        <v>2025</v>
      </c>
      <c r="B1431">
        <v>3</v>
      </c>
      <c r="C1431" t="s">
        <v>485</v>
      </c>
      <c r="D1431" t="s">
        <v>74</v>
      </c>
      <c r="E1431" t="s">
        <v>264</v>
      </c>
      <c r="F1431" t="s">
        <v>444</v>
      </c>
      <c r="G1431">
        <v>-21900</v>
      </c>
    </row>
    <row r="1432" spans="1:7" x14ac:dyDescent="0.35">
      <c r="A1432">
        <v>2025</v>
      </c>
      <c r="B1432">
        <v>3</v>
      </c>
      <c r="C1432" t="s">
        <v>485</v>
      </c>
      <c r="D1432" t="s">
        <v>74</v>
      </c>
      <c r="E1432" t="s">
        <v>183</v>
      </c>
      <c r="F1432" t="s">
        <v>360</v>
      </c>
      <c r="G1432">
        <v>-14066</v>
      </c>
    </row>
    <row r="1433" spans="1:7" x14ac:dyDescent="0.35">
      <c r="A1433">
        <v>2025</v>
      </c>
      <c r="B1433">
        <v>3</v>
      </c>
      <c r="C1433" t="s">
        <v>485</v>
      </c>
      <c r="D1433" t="s">
        <v>74</v>
      </c>
      <c r="E1433" t="s">
        <v>265</v>
      </c>
      <c r="F1433" t="s">
        <v>445</v>
      </c>
      <c r="G1433">
        <v>-2032</v>
      </c>
    </row>
    <row r="1434" spans="1:7" x14ac:dyDescent="0.35">
      <c r="A1434">
        <v>2025</v>
      </c>
      <c r="B1434">
        <v>3</v>
      </c>
      <c r="C1434" t="s">
        <v>485</v>
      </c>
      <c r="D1434" t="s">
        <v>74</v>
      </c>
      <c r="E1434" t="s">
        <v>184</v>
      </c>
      <c r="F1434" t="s">
        <v>361</v>
      </c>
      <c r="G1434">
        <v>-5135</v>
      </c>
    </row>
    <row r="1435" spans="1:7" x14ac:dyDescent="0.35">
      <c r="A1435">
        <v>2025</v>
      </c>
      <c r="B1435">
        <v>3</v>
      </c>
      <c r="C1435" t="s">
        <v>485</v>
      </c>
      <c r="D1435" t="s">
        <v>74</v>
      </c>
      <c r="E1435" t="s">
        <v>282</v>
      </c>
      <c r="F1435" t="s">
        <v>462</v>
      </c>
      <c r="G1435">
        <v>-5007</v>
      </c>
    </row>
    <row r="1436" spans="1:7" x14ac:dyDescent="0.35">
      <c r="A1436">
        <v>2025</v>
      </c>
      <c r="B1436">
        <v>3</v>
      </c>
      <c r="C1436" t="s">
        <v>485</v>
      </c>
      <c r="D1436" t="s">
        <v>74</v>
      </c>
      <c r="E1436" t="s">
        <v>185</v>
      </c>
      <c r="F1436" t="s">
        <v>362</v>
      </c>
      <c r="G1436">
        <v>-57255</v>
      </c>
    </row>
    <row r="1437" spans="1:7" x14ac:dyDescent="0.35">
      <c r="A1437">
        <v>2025</v>
      </c>
      <c r="B1437">
        <v>3</v>
      </c>
      <c r="C1437" t="s">
        <v>485</v>
      </c>
      <c r="D1437" t="s">
        <v>74</v>
      </c>
      <c r="E1437" t="s">
        <v>298</v>
      </c>
      <c r="F1437" t="s">
        <v>363</v>
      </c>
      <c r="G1437">
        <v>-46736</v>
      </c>
    </row>
    <row r="1438" spans="1:7" x14ac:dyDescent="0.35">
      <c r="A1438">
        <v>2025</v>
      </c>
      <c r="B1438">
        <v>3</v>
      </c>
      <c r="C1438" t="s">
        <v>485</v>
      </c>
      <c r="D1438" t="s">
        <v>74</v>
      </c>
      <c r="E1438" t="s">
        <v>266</v>
      </c>
      <c r="F1438" t="s">
        <v>446</v>
      </c>
      <c r="G1438">
        <v>-36143</v>
      </c>
    </row>
    <row r="1439" spans="1:7" x14ac:dyDescent="0.35">
      <c r="A1439">
        <v>2025</v>
      </c>
      <c r="B1439">
        <v>3</v>
      </c>
      <c r="C1439" t="s">
        <v>485</v>
      </c>
      <c r="D1439" t="s">
        <v>74</v>
      </c>
      <c r="E1439" t="s">
        <v>267</v>
      </c>
      <c r="F1439" t="s">
        <v>447</v>
      </c>
      <c r="G1439">
        <v>-18499</v>
      </c>
    </row>
    <row r="1440" spans="1:7" x14ac:dyDescent="0.35">
      <c r="A1440">
        <v>2025</v>
      </c>
      <c r="B1440">
        <v>3</v>
      </c>
      <c r="C1440" t="s">
        <v>485</v>
      </c>
      <c r="D1440" t="s">
        <v>74</v>
      </c>
      <c r="E1440" t="s">
        <v>268</v>
      </c>
      <c r="F1440" t="s">
        <v>448</v>
      </c>
      <c r="G1440">
        <v>-6386</v>
      </c>
    </row>
    <row r="1441" spans="1:7" x14ac:dyDescent="0.35">
      <c r="A1441">
        <v>2025</v>
      </c>
      <c r="B1441">
        <v>3</v>
      </c>
      <c r="C1441" t="s">
        <v>485</v>
      </c>
      <c r="D1441" t="s">
        <v>74</v>
      </c>
      <c r="E1441" t="s">
        <v>186</v>
      </c>
      <c r="F1441" t="s">
        <v>364</v>
      </c>
      <c r="G1441">
        <v>-99272</v>
      </c>
    </row>
    <row r="1442" spans="1:7" x14ac:dyDescent="0.35">
      <c r="A1442">
        <v>2025</v>
      </c>
      <c r="B1442">
        <v>3</v>
      </c>
      <c r="C1442" t="s">
        <v>485</v>
      </c>
      <c r="D1442" t="s">
        <v>74</v>
      </c>
      <c r="E1442" t="s">
        <v>269</v>
      </c>
      <c r="F1442" t="s">
        <v>449</v>
      </c>
      <c r="G1442">
        <v>-19309</v>
      </c>
    </row>
    <row r="1443" spans="1:7" x14ac:dyDescent="0.35">
      <c r="A1443">
        <v>2025</v>
      </c>
      <c r="B1443">
        <v>3</v>
      </c>
      <c r="C1443" t="s">
        <v>485</v>
      </c>
      <c r="D1443" t="s">
        <v>74</v>
      </c>
      <c r="E1443" t="s">
        <v>270</v>
      </c>
      <c r="F1443" t="s">
        <v>450</v>
      </c>
      <c r="G1443">
        <v>-60321</v>
      </c>
    </row>
    <row r="1444" spans="1:7" x14ac:dyDescent="0.35">
      <c r="A1444">
        <v>2025</v>
      </c>
      <c r="B1444">
        <v>3</v>
      </c>
      <c r="C1444" t="s">
        <v>485</v>
      </c>
      <c r="D1444" t="s">
        <v>74</v>
      </c>
      <c r="E1444" t="s">
        <v>271</v>
      </c>
      <c r="F1444" t="s">
        <v>451</v>
      </c>
      <c r="G1444">
        <v>-40296</v>
      </c>
    </row>
    <row r="1445" spans="1:7" x14ac:dyDescent="0.35">
      <c r="A1445">
        <v>2025</v>
      </c>
      <c r="B1445">
        <v>3</v>
      </c>
      <c r="C1445" t="s">
        <v>485</v>
      </c>
      <c r="D1445" t="s">
        <v>74</v>
      </c>
      <c r="E1445" t="s">
        <v>187</v>
      </c>
      <c r="F1445" t="s">
        <v>365</v>
      </c>
      <c r="G1445">
        <v>-31897</v>
      </c>
    </row>
    <row r="1446" spans="1:7" x14ac:dyDescent="0.35">
      <c r="A1446">
        <v>2025</v>
      </c>
      <c r="B1446">
        <v>3</v>
      </c>
      <c r="C1446" t="s">
        <v>485</v>
      </c>
      <c r="D1446" t="s">
        <v>74</v>
      </c>
      <c r="E1446" t="s">
        <v>283</v>
      </c>
      <c r="F1446" t="s">
        <v>463</v>
      </c>
      <c r="G1446">
        <v>-26799</v>
      </c>
    </row>
    <row r="1447" spans="1:7" x14ac:dyDescent="0.35">
      <c r="A1447">
        <v>2025</v>
      </c>
      <c r="B1447">
        <v>3</v>
      </c>
      <c r="C1447" t="s">
        <v>485</v>
      </c>
      <c r="D1447" t="s">
        <v>85</v>
      </c>
      <c r="E1447" t="s">
        <v>188</v>
      </c>
      <c r="F1447" t="s">
        <v>366</v>
      </c>
      <c r="G1447">
        <v>-12324796.369999999</v>
      </c>
    </row>
    <row r="1448" spans="1:7" x14ac:dyDescent="0.35">
      <c r="A1448">
        <v>2025</v>
      </c>
      <c r="B1448">
        <v>3</v>
      </c>
      <c r="C1448" t="s">
        <v>485</v>
      </c>
      <c r="D1448" t="s">
        <v>106</v>
      </c>
      <c r="E1448" t="s">
        <v>189</v>
      </c>
      <c r="F1448" t="s">
        <v>367</v>
      </c>
      <c r="G1448">
        <v>-35371508</v>
      </c>
    </row>
    <row r="1449" spans="1:7" x14ac:dyDescent="0.35">
      <c r="A1449">
        <v>2025</v>
      </c>
      <c r="B1449">
        <v>3</v>
      </c>
      <c r="C1449" t="s">
        <v>485</v>
      </c>
      <c r="D1449" t="s">
        <v>106</v>
      </c>
      <c r="E1449" t="s">
        <v>190</v>
      </c>
      <c r="F1449" t="s">
        <v>368</v>
      </c>
      <c r="G1449">
        <v>-1337675</v>
      </c>
    </row>
    <row r="1450" spans="1:7" x14ac:dyDescent="0.35">
      <c r="A1450">
        <v>2025</v>
      </c>
      <c r="B1450">
        <v>3</v>
      </c>
      <c r="C1450" t="s">
        <v>485</v>
      </c>
      <c r="D1450" t="s">
        <v>106</v>
      </c>
      <c r="E1450" t="s">
        <v>191</v>
      </c>
      <c r="F1450" t="s">
        <v>369</v>
      </c>
      <c r="G1450">
        <v>-8621674</v>
      </c>
    </row>
    <row r="1451" spans="1:7" x14ac:dyDescent="0.35">
      <c r="A1451">
        <v>2025</v>
      </c>
      <c r="B1451">
        <v>3</v>
      </c>
      <c r="C1451" t="s">
        <v>485</v>
      </c>
      <c r="D1451" t="s">
        <v>106</v>
      </c>
      <c r="E1451" t="s">
        <v>192</v>
      </c>
      <c r="F1451" t="s">
        <v>370</v>
      </c>
      <c r="G1451">
        <v>-3131396</v>
      </c>
    </row>
    <row r="1452" spans="1:7" x14ac:dyDescent="0.35">
      <c r="A1452">
        <v>2025</v>
      </c>
      <c r="B1452">
        <v>3</v>
      </c>
      <c r="C1452" t="s">
        <v>485</v>
      </c>
      <c r="D1452" t="s">
        <v>106</v>
      </c>
      <c r="E1452" t="s">
        <v>284</v>
      </c>
      <c r="F1452" t="s">
        <v>464</v>
      </c>
      <c r="G1452">
        <v>-319757</v>
      </c>
    </row>
    <row r="1453" spans="1:7" x14ac:dyDescent="0.35">
      <c r="A1453">
        <v>2025</v>
      </c>
      <c r="B1453">
        <v>3</v>
      </c>
      <c r="C1453" t="s">
        <v>485</v>
      </c>
      <c r="D1453" t="s">
        <v>106</v>
      </c>
      <c r="E1453" t="s">
        <v>193</v>
      </c>
      <c r="F1453" t="s">
        <v>371</v>
      </c>
      <c r="G1453">
        <v>-378994</v>
      </c>
    </row>
    <row r="1454" spans="1:7" x14ac:dyDescent="0.35">
      <c r="A1454">
        <v>2025</v>
      </c>
      <c r="B1454">
        <v>3</v>
      </c>
      <c r="C1454" t="s">
        <v>485</v>
      </c>
      <c r="D1454" t="s">
        <v>106</v>
      </c>
      <c r="E1454" t="s">
        <v>194</v>
      </c>
      <c r="F1454" t="s">
        <v>372</v>
      </c>
      <c r="G1454">
        <v>-41293</v>
      </c>
    </row>
    <row r="1455" spans="1:7" x14ac:dyDescent="0.35">
      <c r="A1455">
        <v>2025</v>
      </c>
      <c r="B1455">
        <v>3</v>
      </c>
      <c r="C1455" t="s">
        <v>485</v>
      </c>
      <c r="D1455" t="s">
        <v>106</v>
      </c>
      <c r="E1455" t="s">
        <v>195</v>
      </c>
      <c r="F1455" t="s">
        <v>373</v>
      </c>
      <c r="G1455">
        <v>-1230160</v>
      </c>
    </row>
    <row r="1456" spans="1:7" x14ac:dyDescent="0.35">
      <c r="A1456">
        <v>2025</v>
      </c>
      <c r="B1456">
        <v>3</v>
      </c>
      <c r="C1456" t="s">
        <v>485</v>
      </c>
      <c r="D1456" t="s">
        <v>490</v>
      </c>
      <c r="E1456" t="s">
        <v>490</v>
      </c>
      <c r="F1456" t="s">
        <v>491</v>
      </c>
      <c r="G1456">
        <v>-4270</v>
      </c>
    </row>
    <row r="1457" spans="1:7" x14ac:dyDescent="0.35">
      <c r="A1457">
        <v>2025</v>
      </c>
      <c r="B1457">
        <v>3</v>
      </c>
      <c r="C1457" t="s">
        <v>485</v>
      </c>
      <c r="D1457" t="s">
        <v>75</v>
      </c>
      <c r="E1457" t="s">
        <v>204</v>
      </c>
      <c r="F1457" t="s">
        <v>383</v>
      </c>
      <c r="G1457">
        <v>-772800</v>
      </c>
    </row>
    <row r="1458" spans="1:7" x14ac:dyDescent="0.35">
      <c r="A1458">
        <v>2025</v>
      </c>
      <c r="B1458">
        <v>3</v>
      </c>
      <c r="C1458" t="s">
        <v>485</v>
      </c>
      <c r="D1458" t="s">
        <v>23</v>
      </c>
      <c r="E1458" t="s">
        <v>206</v>
      </c>
      <c r="F1458" t="s">
        <v>385</v>
      </c>
      <c r="G1458">
        <v>-139071</v>
      </c>
    </row>
    <row r="1459" spans="1:7" x14ac:dyDescent="0.35">
      <c r="A1459">
        <v>2025</v>
      </c>
      <c r="B1459">
        <v>3</v>
      </c>
      <c r="C1459" t="s">
        <v>485</v>
      </c>
      <c r="D1459" t="s">
        <v>24</v>
      </c>
      <c r="E1459" t="s">
        <v>207</v>
      </c>
      <c r="F1459" t="s">
        <v>386</v>
      </c>
      <c r="G1459">
        <v>-986863</v>
      </c>
    </row>
    <row r="1460" spans="1:7" x14ac:dyDescent="0.35">
      <c r="A1460">
        <v>2025</v>
      </c>
      <c r="B1460">
        <v>3</v>
      </c>
      <c r="C1460" t="s">
        <v>485</v>
      </c>
      <c r="D1460" t="s">
        <v>114</v>
      </c>
      <c r="E1460" t="s">
        <v>295</v>
      </c>
      <c r="F1460" t="s">
        <v>479</v>
      </c>
      <c r="G1460">
        <v>-11767</v>
      </c>
    </row>
    <row r="1461" spans="1:7" x14ac:dyDescent="0.35">
      <c r="A1461">
        <v>2025</v>
      </c>
      <c r="B1461">
        <v>3</v>
      </c>
      <c r="C1461" t="s">
        <v>485</v>
      </c>
      <c r="D1461" t="s">
        <v>519</v>
      </c>
      <c r="E1461" t="s">
        <v>202</v>
      </c>
      <c r="F1461" t="s">
        <v>380</v>
      </c>
      <c r="G1461">
        <v>-94715.7</v>
      </c>
    </row>
    <row r="1462" spans="1:7" x14ac:dyDescent="0.35">
      <c r="A1462">
        <v>2025</v>
      </c>
      <c r="B1462">
        <v>3</v>
      </c>
      <c r="C1462" t="s">
        <v>485</v>
      </c>
      <c r="D1462" t="s">
        <v>519</v>
      </c>
      <c r="E1462" t="s">
        <v>203</v>
      </c>
      <c r="F1462" t="s">
        <v>381</v>
      </c>
      <c r="G1462">
        <v>-187587.61</v>
      </c>
    </row>
    <row r="1463" spans="1:7" x14ac:dyDescent="0.35">
      <c r="A1463">
        <v>2025</v>
      </c>
      <c r="B1463">
        <v>3</v>
      </c>
      <c r="C1463" t="s">
        <v>485</v>
      </c>
      <c r="D1463" t="s">
        <v>519</v>
      </c>
      <c r="E1463" t="s">
        <v>196</v>
      </c>
      <c r="F1463" t="s">
        <v>382</v>
      </c>
      <c r="G1463">
        <v>-24.64</v>
      </c>
    </row>
    <row r="1464" spans="1:7" x14ac:dyDescent="0.35">
      <c r="A1464">
        <v>2025</v>
      </c>
      <c r="B1464">
        <v>3</v>
      </c>
      <c r="C1464" t="s">
        <v>485</v>
      </c>
      <c r="D1464" t="s">
        <v>519</v>
      </c>
      <c r="E1464" t="s">
        <v>285</v>
      </c>
      <c r="F1464" t="s">
        <v>465</v>
      </c>
      <c r="G1464">
        <v>-17770.990000000002</v>
      </c>
    </row>
    <row r="1465" spans="1:7" x14ac:dyDescent="0.35">
      <c r="A1465">
        <v>2025</v>
      </c>
      <c r="B1465">
        <v>3</v>
      </c>
      <c r="C1465" t="s">
        <v>485</v>
      </c>
      <c r="D1465" t="s">
        <v>519</v>
      </c>
      <c r="E1465" t="s">
        <v>514</v>
      </c>
      <c r="F1465" t="s">
        <v>515</v>
      </c>
      <c r="G1465">
        <v>0</v>
      </c>
    </row>
    <row r="1466" spans="1:7" x14ac:dyDescent="0.35">
      <c r="A1466">
        <v>2025</v>
      </c>
      <c r="B1466">
        <v>3</v>
      </c>
      <c r="C1466" t="s">
        <v>485</v>
      </c>
      <c r="D1466" t="s">
        <v>520</v>
      </c>
      <c r="E1466" t="s">
        <v>241</v>
      </c>
      <c r="F1466" t="s">
        <v>420</v>
      </c>
      <c r="G1466">
        <v>-3719</v>
      </c>
    </row>
    <row r="1467" spans="1:7" x14ac:dyDescent="0.35">
      <c r="A1467">
        <v>2025</v>
      </c>
      <c r="B1467">
        <v>3</v>
      </c>
      <c r="C1467" t="s">
        <v>485</v>
      </c>
      <c r="D1467" t="s">
        <v>520</v>
      </c>
      <c r="E1467" t="s">
        <v>208</v>
      </c>
      <c r="F1467" t="s">
        <v>387</v>
      </c>
      <c r="G1467">
        <v>-983</v>
      </c>
    </row>
    <row r="1468" spans="1:7" x14ac:dyDescent="0.35">
      <c r="A1468">
        <v>2025</v>
      </c>
      <c r="B1468">
        <v>3</v>
      </c>
      <c r="C1468" t="s">
        <v>485</v>
      </c>
      <c r="D1468" t="s">
        <v>520</v>
      </c>
      <c r="E1468" t="s">
        <v>134</v>
      </c>
      <c r="F1468" t="s">
        <v>315</v>
      </c>
      <c r="G1468">
        <v>-105345</v>
      </c>
    </row>
    <row r="1469" spans="1:7" x14ac:dyDescent="0.35">
      <c r="A1469">
        <v>2025</v>
      </c>
      <c r="B1469">
        <v>3</v>
      </c>
      <c r="C1469" t="s">
        <v>485</v>
      </c>
      <c r="D1469" t="s">
        <v>520</v>
      </c>
      <c r="E1469" t="s">
        <v>297</v>
      </c>
      <c r="F1469" t="s">
        <v>482</v>
      </c>
      <c r="G1469">
        <v>-1700</v>
      </c>
    </row>
    <row r="1470" spans="1:7" x14ac:dyDescent="0.35">
      <c r="A1470">
        <v>2025</v>
      </c>
      <c r="B1470">
        <v>3</v>
      </c>
      <c r="C1470" t="s">
        <v>485</v>
      </c>
      <c r="D1470" t="s">
        <v>520</v>
      </c>
      <c r="E1470" t="s">
        <v>196</v>
      </c>
      <c r="F1470" t="s">
        <v>374</v>
      </c>
      <c r="G1470">
        <v>-779</v>
      </c>
    </row>
    <row r="1471" spans="1:7" x14ac:dyDescent="0.35">
      <c r="A1471">
        <v>2025</v>
      </c>
      <c r="B1471">
        <v>3</v>
      </c>
      <c r="C1471" t="s">
        <v>485</v>
      </c>
      <c r="D1471" t="s">
        <v>520</v>
      </c>
      <c r="E1471" t="s">
        <v>197</v>
      </c>
      <c r="F1471" t="s">
        <v>375</v>
      </c>
      <c r="G1471">
        <v>-166543</v>
      </c>
    </row>
    <row r="1472" spans="1:7" x14ac:dyDescent="0.35">
      <c r="A1472">
        <v>2025</v>
      </c>
      <c r="B1472">
        <v>3</v>
      </c>
      <c r="C1472" t="s">
        <v>485</v>
      </c>
      <c r="D1472" t="s">
        <v>520</v>
      </c>
      <c r="E1472" t="s">
        <v>301</v>
      </c>
      <c r="F1472" t="s">
        <v>481</v>
      </c>
      <c r="G1472">
        <v>-5613</v>
      </c>
    </row>
    <row r="1473" spans="1:7" x14ac:dyDescent="0.35">
      <c r="A1473">
        <v>2025</v>
      </c>
      <c r="B1473">
        <v>3</v>
      </c>
      <c r="C1473" t="s">
        <v>485</v>
      </c>
      <c r="D1473" t="s">
        <v>520</v>
      </c>
      <c r="E1473" t="s">
        <v>198</v>
      </c>
      <c r="F1473" t="s">
        <v>376</v>
      </c>
      <c r="G1473">
        <v>-20468</v>
      </c>
    </row>
    <row r="1474" spans="1:7" x14ac:dyDescent="0.35">
      <c r="A1474">
        <v>2025</v>
      </c>
      <c r="B1474">
        <v>3</v>
      </c>
      <c r="C1474" t="s">
        <v>485</v>
      </c>
      <c r="D1474" t="s">
        <v>520</v>
      </c>
      <c r="E1474" t="s">
        <v>294</v>
      </c>
      <c r="F1474" t="s">
        <v>478</v>
      </c>
      <c r="G1474">
        <v>-43</v>
      </c>
    </row>
    <row r="1475" spans="1:7" x14ac:dyDescent="0.35">
      <c r="A1475">
        <v>2025</v>
      </c>
      <c r="B1475">
        <v>3</v>
      </c>
      <c r="C1475" t="s">
        <v>485</v>
      </c>
      <c r="D1475" t="s">
        <v>520</v>
      </c>
      <c r="E1475" t="s">
        <v>199</v>
      </c>
      <c r="F1475" t="s">
        <v>377</v>
      </c>
      <c r="G1475">
        <v>-336</v>
      </c>
    </row>
    <row r="1476" spans="1:7" x14ac:dyDescent="0.35">
      <c r="A1476">
        <v>2025</v>
      </c>
      <c r="B1476">
        <v>3</v>
      </c>
      <c r="C1476" t="s">
        <v>485</v>
      </c>
      <c r="D1476" t="s">
        <v>520</v>
      </c>
      <c r="E1476" t="s">
        <v>200</v>
      </c>
      <c r="F1476" t="s">
        <v>378</v>
      </c>
      <c r="G1476">
        <v>-32463</v>
      </c>
    </row>
    <row r="1477" spans="1:7" x14ac:dyDescent="0.35">
      <c r="A1477">
        <v>2025</v>
      </c>
      <c r="B1477">
        <v>3</v>
      </c>
      <c r="C1477" t="s">
        <v>485</v>
      </c>
      <c r="D1477" t="s">
        <v>520</v>
      </c>
      <c r="E1477" t="s">
        <v>201</v>
      </c>
      <c r="F1477" t="s">
        <v>379</v>
      </c>
      <c r="G1477">
        <v>-187280</v>
      </c>
    </row>
    <row r="1478" spans="1:7" x14ac:dyDescent="0.35">
      <c r="A1478">
        <v>2025</v>
      </c>
      <c r="B1478">
        <v>3</v>
      </c>
      <c r="C1478" t="s">
        <v>485</v>
      </c>
      <c r="D1478" t="s">
        <v>520</v>
      </c>
      <c r="E1478" t="s">
        <v>512</v>
      </c>
      <c r="F1478" t="s">
        <v>513</v>
      </c>
      <c r="G1478">
        <v>0</v>
      </c>
    </row>
    <row r="1479" spans="1:7" x14ac:dyDescent="0.35">
      <c r="A1479">
        <v>2025</v>
      </c>
      <c r="B1479">
        <v>3</v>
      </c>
      <c r="C1479" t="s">
        <v>485</v>
      </c>
      <c r="D1479" t="s">
        <v>33</v>
      </c>
      <c r="E1479" t="s">
        <v>492</v>
      </c>
      <c r="F1479" t="s">
        <v>493</v>
      </c>
      <c r="G1479">
        <v>-2750</v>
      </c>
    </row>
    <row r="1480" spans="1:7" x14ac:dyDescent="0.35">
      <c r="A1480">
        <v>2025</v>
      </c>
      <c r="B1480">
        <v>3</v>
      </c>
      <c r="C1480" t="s">
        <v>485</v>
      </c>
      <c r="D1480" t="s">
        <v>33</v>
      </c>
      <c r="E1480" t="s">
        <v>209</v>
      </c>
      <c r="F1480" t="s">
        <v>388</v>
      </c>
      <c r="G1480">
        <v>-343630</v>
      </c>
    </row>
    <row r="1481" spans="1:7" x14ac:dyDescent="0.35">
      <c r="A1481">
        <v>2025</v>
      </c>
      <c r="B1481">
        <v>3</v>
      </c>
      <c r="C1481" t="s">
        <v>485</v>
      </c>
      <c r="D1481" t="s">
        <v>12</v>
      </c>
      <c r="E1481" t="s">
        <v>210</v>
      </c>
      <c r="F1481" t="s">
        <v>389</v>
      </c>
      <c r="G1481">
        <v>-26187</v>
      </c>
    </row>
    <row r="1482" spans="1:7" x14ac:dyDescent="0.35">
      <c r="A1482">
        <v>2025</v>
      </c>
      <c r="B1482">
        <v>3</v>
      </c>
      <c r="C1482" t="s">
        <v>485</v>
      </c>
      <c r="D1482" t="s">
        <v>12</v>
      </c>
      <c r="E1482" t="s">
        <v>211</v>
      </c>
      <c r="F1482" t="s">
        <v>390</v>
      </c>
      <c r="G1482">
        <v>-13163</v>
      </c>
    </row>
    <row r="1483" spans="1:7" x14ac:dyDescent="0.35">
      <c r="A1483">
        <v>2025</v>
      </c>
      <c r="B1483">
        <v>3</v>
      </c>
      <c r="C1483" t="s">
        <v>485</v>
      </c>
      <c r="D1483" t="s">
        <v>12</v>
      </c>
      <c r="E1483" t="s">
        <v>272</v>
      </c>
      <c r="F1483" t="s">
        <v>452</v>
      </c>
      <c r="G1483">
        <v>-3798</v>
      </c>
    </row>
    <row r="1484" spans="1:7" x14ac:dyDescent="0.35">
      <c r="A1484">
        <v>2025</v>
      </c>
      <c r="B1484">
        <v>3</v>
      </c>
      <c r="C1484" t="s">
        <v>485</v>
      </c>
      <c r="D1484" t="s">
        <v>12</v>
      </c>
      <c r="E1484" t="s">
        <v>212</v>
      </c>
      <c r="F1484" t="s">
        <v>391</v>
      </c>
      <c r="G1484">
        <v>-69426</v>
      </c>
    </row>
    <row r="1485" spans="1:7" x14ac:dyDescent="0.35">
      <c r="A1485">
        <v>2025</v>
      </c>
      <c r="B1485">
        <v>3</v>
      </c>
      <c r="C1485" t="s">
        <v>485</v>
      </c>
      <c r="D1485" t="s">
        <v>12</v>
      </c>
      <c r="E1485" t="s">
        <v>273</v>
      </c>
      <c r="F1485" t="s">
        <v>453</v>
      </c>
      <c r="G1485">
        <v>-11977</v>
      </c>
    </row>
    <row r="1486" spans="1:7" x14ac:dyDescent="0.35">
      <c r="A1486">
        <v>2025</v>
      </c>
      <c r="B1486">
        <v>3</v>
      </c>
      <c r="C1486" t="s">
        <v>485</v>
      </c>
      <c r="D1486" t="s">
        <v>12</v>
      </c>
      <c r="E1486" t="s">
        <v>213</v>
      </c>
      <c r="F1486" t="s">
        <v>392</v>
      </c>
      <c r="G1486">
        <v>-79876</v>
      </c>
    </row>
    <row r="1487" spans="1:7" x14ac:dyDescent="0.35">
      <c r="A1487">
        <v>2025</v>
      </c>
      <c r="B1487">
        <v>3</v>
      </c>
      <c r="C1487" t="s">
        <v>485</v>
      </c>
      <c r="D1487" t="s">
        <v>12</v>
      </c>
      <c r="E1487" t="s">
        <v>299</v>
      </c>
      <c r="F1487" t="s">
        <v>393</v>
      </c>
      <c r="G1487">
        <v>-51551</v>
      </c>
    </row>
    <row r="1488" spans="1:7" x14ac:dyDescent="0.35">
      <c r="A1488">
        <v>2025</v>
      </c>
      <c r="B1488">
        <v>3</v>
      </c>
      <c r="C1488" t="s">
        <v>485</v>
      </c>
      <c r="D1488" t="s">
        <v>12</v>
      </c>
      <c r="E1488" t="s">
        <v>214</v>
      </c>
      <c r="F1488" t="s">
        <v>394</v>
      </c>
      <c r="G1488">
        <v>-37647</v>
      </c>
    </row>
    <row r="1489" spans="1:7" x14ac:dyDescent="0.35">
      <c r="A1489">
        <v>2025</v>
      </c>
      <c r="B1489">
        <v>3</v>
      </c>
      <c r="C1489" t="s">
        <v>485</v>
      </c>
      <c r="D1489" t="s">
        <v>12</v>
      </c>
      <c r="E1489" t="s">
        <v>215</v>
      </c>
      <c r="F1489" t="s">
        <v>395</v>
      </c>
      <c r="G1489">
        <v>-20868</v>
      </c>
    </row>
    <row r="1490" spans="1:7" x14ac:dyDescent="0.35">
      <c r="A1490">
        <v>2025</v>
      </c>
      <c r="B1490">
        <v>3</v>
      </c>
      <c r="C1490" t="s">
        <v>485</v>
      </c>
      <c r="D1490" t="s">
        <v>12</v>
      </c>
      <c r="E1490" t="s">
        <v>216</v>
      </c>
      <c r="F1490" t="s">
        <v>396</v>
      </c>
      <c r="G1490">
        <v>-105842</v>
      </c>
    </row>
    <row r="1491" spans="1:7" x14ac:dyDescent="0.35">
      <c r="A1491">
        <v>2025</v>
      </c>
      <c r="B1491">
        <v>3</v>
      </c>
      <c r="C1491" t="s">
        <v>485</v>
      </c>
      <c r="D1491" t="s">
        <v>12</v>
      </c>
      <c r="E1491" t="s">
        <v>217</v>
      </c>
      <c r="F1491" t="s">
        <v>397</v>
      </c>
      <c r="G1491">
        <v>-28236</v>
      </c>
    </row>
    <row r="1492" spans="1:7" x14ac:dyDescent="0.35">
      <c r="A1492">
        <v>2025</v>
      </c>
      <c r="B1492">
        <v>3</v>
      </c>
      <c r="C1492" t="s">
        <v>485</v>
      </c>
      <c r="D1492" t="s">
        <v>12</v>
      </c>
      <c r="E1492" t="s">
        <v>286</v>
      </c>
      <c r="F1492" t="s">
        <v>466</v>
      </c>
      <c r="G1492">
        <v>-2646</v>
      </c>
    </row>
    <row r="1493" spans="1:7" x14ac:dyDescent="0.35">
      <c r="A1493">
        <v>2025</v>
      </c>
      <c r="B1493">
        <v>3</v>
      </c>
      <c r="C1493" t="s">
        <v>485</v>
      </c>
      <c r="D1493" t="s">
        <v>12</v>
      </c>
      <c r="E1493" t="s">
        <v>218</v>
      </c>
      <c r="F1493" t="s">
        <v>398</v>
      </c>
      <c r="G1493">
        <v>-75464</v>
      </c>
    </row>
    <row r="1494" spans="1:7" x14ac:dyDescent="0.35">
      <c r="A1494">
        <v>2025</v>
      </c>
      <c r="B1494">
        <v>3</v>
      </c>
      <c r="C1494" t="s">
        <v>485</v>
      </c>
      <c r="D1494" t="s">
        <v>12</v>
      </c>
      <c r="E1494" t="s">
        <v>219</v>
      </c>
      <c r="F1494" t="s">
        <v>399</v>
      </c>
      <c r="G1494">
        <v>-45545</v>
      </c>
    </row>
    <row r="1495" spans="1:7" x14ac:dyDescent="0.35">
      <c r="A1495">
        <v>2025</v>
      </c>
      <c r="B1495">
        <v>3</v>
      </c>
      <c r="C1495" t="s">
        <v>485</v>
      </c>
      <c r="D1495" t="s">
        <v>12</v>
      </c>
      <c r="E1495" t="s">
        <v>220</v>
      </c>
      <c r="F1495" t="s">
        <v>400</v>
      </c>
      <c r="G1495">
        <v>-51100</v>
      </c>
    </row>
    <row r="1496" spans="1:7" x14ac:dyDescent="0.35">
      <c r="A1496">
        <v>2025</v>
      </c>
      <c r="B1496">
        <v>3</v>
      </c>
      <c r="C1496" t="s">
        <v>485</v>
      </c>
      <c r="D1496" t="s">
        <v>12</v>
      </c>
      <c r="E1496" t="s">
        <v>221</v>
      </c>
      <c r="F1496" t="s">
        <v>401</v>
      </c>
      <c r="G1496">
        <v>-35420</v>
      </c>
    </row>
    <row r="1497" spans="1:7" x14ac:dyDescent="0.35">
      <c r="A1497">
        <v>2025</v>
      </c>
      <c r="B1497">
        <v>3</v>
      </c>
      <c r="C1497" t="s">
        <v>485</v>
      </c>
      <c r="D1497" t="s">
        <v>12</v>
      </c>
      <c r="E1497" t="s">
        <v>222</v>
      </c>
      <c r="F1497" t="s">
        <v>402</v>
      </c>
      <c r="G1497">
        <v>-59711</v>
      </c>
    </row>
    <row r="1498" spans="1:7" x14ac:dyDescent="0.35">
      <c r="A1498">
        <v>2025</v>
      </c>
      <c r="B1498">
        <v>3</v>
      </c>
      <c r="C1498" t="s">
        <v>485</v>
      </c>
      <c r="D1498" t="s">
        <v>54</v>
      </c>
      <c r="E1498" t="s">
        <v>505</v>
      </c>
      <c r="F1498" t="s">
        <v>506</v>
      </c>
      <c r="G1498">
        <v>-294496</v>
      </c>
    </row>
    <row r="1499" spans="1:7" x14ac:dyDescent="0.35">
      <c r="A1499">
        <v>2025</v>
      </c>
      <c r="B1499">
        <v>3</v>
      </c>
      <c r="C1499" t="s">
        <v>485</v>
      </c>
      <c r="D1499" t="s">
        <v>28</v>
      </c>
      <c r="E1499" t="s">
        <v>223</v>
      </c>
      <c r="F1499" t="s">
        <v>403</v>
      </c>
      <c r="G1499">
        <v>-352159</v>
      </c>
    </row>
    <row r="1500" spans="1:7" x14ac:dyDescent="0.35">
      <c r="A1500">
        <v>2025</v>
      </c>
      <c r="B1500">
        <v>3</v>
      </c>
      <c r="C1500" t="s">
        <v>485</v>
      </c>
      <c r="D1500" t="s">
        <v>28</v>
      </c>
      <c r="E1500" t="s">
        <v>224</v>
      </c>
      <c r="F1500" t="s">
        <v>404</v>
      </c>
      <c r="G1500">
        <v>-148990</v>
      </c>
    </row>
    <row r="1501" spans="1:7" x14ac:dyDescent="0.35">
      <c r="A1501">
        <v>2025</v>
      </c>
      <c r="B1501">
        <v>3</v>
      </c>
      <c r="C1501" t="s">
        <v>485</v>
      </c>
      <c r="D1501" t="s">
        <v>92</v>
      </c>
      <c r="E1501" t="s">
        <v>494</v>
      </c>
      <c r="F1501" t="s">
        <v>495</v>
      </c>
      <c r="G1501">
        <v>-27267.9</v>
      </c>
    </row>
    <row r="1502" spans="1:7" x14ac:dyDescent="0.35">
      <c r="A1502">
        <v>2025</v>
      </c>
      <c r="B1502">
        <v>3</v>
      </c>
      <c r="C1502" t="s">
        <v>485</v>
      </c>
      <c r="D1502" t="s">
        <v>64</v>
      </c>
      <c r="E1502" t="s">
        <v>225</v>
      </c>
      <c r="F1502" t="s">
        <v>405</v>
      </c>
      <c r="G1502">
        <v>-242915</v>
      </c>
    </row>
    <row r="1503" spans="1:7" x14ac:dyDescent="0.35">
      <c r="A1503">
        <v>2025</v>
      </c>
      <c r="B1503">
        <v>3</v>
      </c>
      <c r="C1503" t="s">
        <v>485</v>
      </c>
      <c r="D1503" t="s">
        <v>29</v>
      </c>
      <c r="E1503" t="s">
        <v>226</v>
      </c>
      <c r="F1503" t="s">
        <v>406</v>
      </c>
      <c r="G1503">
        <v>-18931</v>
      </c>
    </row>
    <row r="1504" spans="1:7" x14ac:dyDescent="0.35">
      <c r="A1504">
        <v>2025</v>
      </c>
      <c r="B1504">
        <v>3</v>
      </c>
      <c r="C1504" t="s">
        <v>485</v>
      </c>
      <c r="D1504" t="s">
        <v>102</v>
      </c>
      <c r="E1504" t="s">
        <v>227</v>
      </c>
      <c r="F1504" t="s">
        <v>407</v>
      </c>
      <c r="G1504">
        <v>-1773662</v>
      </c>
    </row>
    <row r="1505" spans="1:7" x14ac:dyDescent="0.35">
      <c r="A1505">
        <v>2025</v>
      </c>
      <c r="B1505">
        <v>3</v>
      </c>
      <c r="C1505" t="s">
        <v>485</v>
      </c>
      <c r="D1505" t="s">
        <v>25</v>
      </c>
      <c r="E1505" t="s">
        <v>228</v>
      </c>
      <c r="F1505" t="s">
        <v>408</v>
      </c>
      <c r="G1505">
        <v>-22307</v>
      </c>
    </row>
    <row r="1506" spans="1:7" x14ac:dyDescent="0.35">
      <c r="A1506">
        <v>2025</v>
      </c>
      <c r="B1506">
        <v>3</v>
      </c>
      <c r="C1506" t="s">
        <v>485</v>
      </c>
      <c r="D1506" t="s">
        <v>25</v>
      </c>
      <c r="E1506" t="s">
        <v>274</v>
      </c>
      <c r="F1506" t="s">
        <v>454</v>
      </c>
      <c r="G1506">
        <v>-868038</v>
      </c>
    </row>
    <row r="1507" spans="1:7" x14ac:dyDescent="0.35">
      <c r="A1507">
        <v>2025</v>
      </c>
      <c r="B1507">
        <v>3</v>
      </c>
      <c r="C1507" t="s">
        <v>485</v>
      </c>
      <c r="D1507" t="s">
        <v>229</v>
      </c>
      <c r="E1507" t="s">
        <v>230</v>
      </c>
      <c r="F1507" t="s">
        <v>409</v>
      </c>
      <c r="G1507">
        <v>-900694</v>
      </c>
    </row>
    <row r="1508" spans="1:7" x14ac:dyDescent="0.35">
      <c r="A1508">
        <v>2025</v>
      </c>
      <c r="B1508">
        <v>3</v>
      </c>
      <c r="C1508" t="s">
        <v>485</v>
      </c>
      <c r="D1508" t="s">
        <v>231</v>
      </c>
      <c r="E1508" t="s">
        <v>231</v>
      </c>
      <c r="F1508" t="s">
        <v>410</v>
      </c>
      <c r="G1508">
        <v>-14629</v>
      </c>
    </row>
    <row r="1509" spans="1:7" x14ac:dyDescent="0.35">
      <c r="A1509">
        <v>2025</v>
      </c>
      <c r="B1509">
        <v>3</v>
      </c>
      <c r="C1509" t="s">
        <v>485</v>
      </c>
      <c r="D1509" t="s">
        <v>13</v>
      </c>
      <c r="E1509" t="s">
        <v>232</v>
      </c>
      <c r="F1509" t="s">
        <v>411</v>
      </c>
      <c r="G1509">
        <v>-19389</v>
      </c>
    </row>
    <row r="1510" spans="1:7" x14ac:dyDescent="0.35">
      <c r="A1510">
        <v>2025</v>
      </c>
      <c r="B1510">
        <v>3</v>
      </c>
      <c r="C1510" t="s">
        <v>485</v>
      </c>
      <c r="D1510" t="s">
        <v>94</v>
      </c>
      <c r="E1510" t="s">
        <v>233</v>
      </c>
      <c r="F1510" t="s">
        <v>412</v>
      </c>
      <c r="G1510">
        <v>-387593</v>
      </c>
    </row>
    <row r="1511" spans="1:7" x14ac:dyDescent="0.35">
      <c r="A1511">
        <v>2025</v>
      </c>
      <c r="B1511">
        <v>3</v>
      </c>
      <c r="C1511" t="s">
        <v>485</v>
      </c>
      <c r="D1511" t="s">
        <v>36</v>
      </c>
      <c r="E1511" t="s">
        <v>275</v>
      </c>
      <c r="F1511" t="s">
        <v>455</v>
      </c>
      <c r="G1511">
        <v>-134291</v>
      </c>
    </row>
    <row r="1512" spans="1:7" x14ac:dyDescent="0.35">
      <c r="A1512">
        <v>2025</v>
      </c>
      <c r="B1512">
        <v>3</v>
      </c>
      <c r="C1512" t="s">
        <v>485</v>
      </c>
      <c r="D1512" t="s">
        <v>43</v>
      </c>
      <c r="E1512" t="s">
        <v>234</v>
      </c>
      <c r="F1512" t="s">
        <v>413</v>
      </c>
      <c r="G1512">
        <v>-111965</v>
      </c>
    </row>
    <row r="1513" spans="1:7" x14ac:dyDescent="0.35">
      <c r="A1513">
        <v>2025</v>
      </c>
      <c r="B1513">
        <v>3</v>
      </c>
      <c r="C1513" t="s">
        <v>485</v>
      </c>
      <c r="D1513" t="s">
        <v>40</v>
      </c>
      <c r="E1513" t="s">
        <v>235</v>
      </c>
      <c r="F1513" t="s">
        <v>414</v>
      </c>
      <c r="G1513">
        <v>-209070</v>
      </c>
    </row>
    <row r="1514" spans="1:7" x14ac:dyDescent="0.35">
      <c r="A1514">
        <v>2025</v>
      </c>
      <c r="B1514">
        <v>3</v>
      </c>
      <c r="C1514" t="s">
        <v>485</v>
      </c>
      <c r="D1514" t="s">
        <v>45</v>
      </c>
      <c r="E1514" t="s">
        <v>276</v>
      </c>
      <c r="F1514" t="s">
        <v>456</v>
      </c>
      <c r="G1514">
        <v>-543496</v>
      </c>
    </row>
    <row r="1515" spans="1:7" x14ac:dyDescent="0.35">
      <c r="A1515">
        <v>2025</v>
      </c>
      <c r="B1515">
        <v>3</v>
      </c>
      <c r="C1515" t="s">
        <v>485</v>
      </c>
      <c r="D1515" t="s">
        <v>546</v>
      </c>
      <c r="E1515" t="s">
        <v>547</v>
      </c>
      <c r="F1515" t="s">
        <v>548</v>
      </c>
      <c r="G1515">
        <v>0</v>
      </c>
    </row>
    <row r="1516" spans="1:7" x14ac:dyDescent="0.35">
      <c r="A1516">
        <v>2025</v>
      </c>
      <c r="B1516">
        <v>3</v>
      </c>
      <c r="C1516" t="s">
        <v>485</v>
      </c>
      <c r="D1516" t="s">
        <v>76</v>
      </c>
      <c r="E1516" t="s">
        <v>236</v>
      </c>
      <c r="F1516" t="s">
        <v>415</v>
      </c>
      <c r="G1516">
        <v>5154603</v>
      </c>
    </row>
    <row r="1517" spans="1:7" x14ac:dyDescent="0.35">
      <c r="A1517">
        <v>2025</v>
      </c>
      <c r="B1517">
        <v>3</v>
      </c>
      <c r="C1517" t="s">
        <v>485</v>
      </c>
      <c r="D1517" t="s">
        <v>76</v>
      </c>
      <c r="E1517" t="s">
        <v>237</v>
      </c>
      <c r="F1517" t="s">
        <v>416</v>
      </c>
      <c r="G1517">
        <v>-637301.93000000005</v>
      </c>
    </row>
    <row r="1518" spans="1:7" x14ac:dyDescent="0.35">
      <c r="A1518">
        <v>2025</v>
      </c>
      <c r="B1518">
        <v>3</v>
      </c>
      <c r="C1518" t="s">
        <v>485</v>
      </c>
      <c r="D1518" t="s">
        <v>76</v>
      </c>
      <c r="E1518" t="s">
        <v>238</v>
      </c>
      <c r="F1518" t="s">
        <v>417</v>
      </c>
      <c r="G1518">
        <v>-858744.65</v>
      </c>
    </row>
    <row r="1519" spans="1:7" x14ac:dyDescent="0.35">
      <c r="A1519">
        <v>2025</v>
      </c>
      <c r="B1519">
        <v>3</v>
      </c>
      <c r="C1519" t="s">
        <v>485</v>
      </c>
      <c r="D1519" t="s">
        <v>76</v>
      </c>
      <c r="E1519" t="s">
        <v>239</v>
      </c>
      <c r="F1519" t="s">
        <v>418</v>
      </c>
      <c r="G1519">
        <v>1791399.92</v>
      </c>
    </row>
    <row r="1520" spans="1:7" x14ac:dyDescent="0.35">
      <c r="A1520">
        <v>2025</v>
      </c>
      <c r="B1520">
        <v>3</v>
      </c>
      <c r="C1520" t="s">
        <v>485</v>
      </c>
      <c r="D1520" t="s">
        <v>35</v>
      </c>
      <c r="E1520" t="s">
        <v>240</v>
      </c>
      <c r="F1520" t="s">
        <v>419</v>
      </c>
      <c r="G1520">
        <v>-1519290.36</v>
      </c>
    </row>
    <row r="1521" spans="1:7" x14ac:dyDescent="0.35">
      <c r="A1521">
        <v>2025</v>
      </c>
      <c r="B1521">
        <v>3</v>
      </c>
      <c r="C1521" t="s">
        <v>485</v>
      </c>
      <c r="D1521" t="s">
        <v>103</v>
      </c>
      <c r="E1521" t="s">
        <v>242</v>
      </c>
      <c r="F1521" t="s">
        <v>421</v>
      </c>
      <c r="G1521">
        <v>-1375650</v>
      </c>
    </row>
    <row r="1522" spans="1:7" x14ac:dyDescent="0.35">
      <c r="A1522">
        <v>2025</v>
      </c>
      <c r="B1522">
        <v>3</v>
      </c>
      <c r="C1522" t="s">
        <v>485</v>
      </c>
      <c r="D1522" t="s">
        <v>104</v>
      </c>
      <c r="E1522" t="s">
        <v>243</v>
      </c>
      <c r="F1522" t="s">
        <v>422</v>
      </c>
      <c r="G1522">
        <v>-13539408</v>
      </c>
    </row>
    <row r="1523" spans="1:7" x14ac:dyDescent="0.35">
      <c r="A1523">
        <v>2025</v>
      </c>
      <c r="B1523">
        <v>3</v>
      </c>
      <c r="C1523" t="s">
        <v>485</v>
      </c>
      <c r="D1523" t="s">
        <v>244</v>
      </c>
      <c r="E1523" t="s">
        <v>245</v>
      </c>
      <c r="F1523" t="s">
        <v>423</v>
      </c>
      <c r="G1523">
        <v>-11286223</v>
      </c>
    </row>
    <row r="1524" spans="1:7" x14ac:dyDescent="0.35">
      <c r="A1524">
        <v>2025</v>
      </c>
      <c r="B1524">
        <v>3</v>
      </c>
      <c r="C1524" t="s">
        <v>485</v>
      </c>
      <c r="D1524" t="s">
        <v>100</v>
      </c>
      <c r="E1524" t="s">
        <v>246</v>
      </c>
      <c r="F1524" t="s">
        <v>424</v>
      </c>
      <c r="G1524">
        <v>-23711</v>
      </c>
    </row>
    <row r="1525" spans="1:7" x14ac:dyDescent="0.35">
      <c r="A1525">
        <v>2025</v>
      </c>
      <c r="B1525">
        <v>3</v>
      </c>
      <c r="C1525" t="s">
        <v>485</v>
      </c>
      <c r="D1525" t="s">
        <v>14</v>
      </c>
      <c r="E1525" t="s">
        <v>131</v>
      </c>
      <c r="F1525" t="s">
        <v>425</v>
      </c>
      <c r="G1525">
        <v>-2207537</v>
      </c>
    </row>
    <row r="1526" spans="1:7" x14ac:dyDescent="0.35">
      <c r="A1526">
        <v>2025</v>
      </c>
      <c r="B1526">
        <v>3</v>
      </c>
      <c r="C1526" t="s">
        <v>485</v>
      </c>
      <c r="D1526" t="s">
        <v>30</v>
      </c>
      <c r="E1526" t="s">
        <v>247</v>
      </c>
      <c r="F1526" t="s">
        <v>426</v>
      </c>
      <c r="G1526">
        <v>-171704</v>
      </c>
    </row>
    <row r="1527" spans="1:7" x14ac:dyDescent="0.35">
      <c r="A1527">
        <v>2025</v>
      </c>
      <c r="B1527">
        <v>3</v>
      </c>
      <c r="C1527" t="s">
        <v>485</v>
      </c>
      <c r="D1527" t="s">
        <v>15</v>
      </c>
      <c r="E1527" t="s">
        <v>248</v>
      </c>
      <c r="F1527" t="s">
        <v>427</v>
      </c>
      <c r="G1527">
        <v>-349132</v>
      </c>
    </row>
    <row r="1528" spans="1:7" x14ac:dyDescent="0.35">
      <c r="A1528">
        <v>2025</v>
      </c>
      <c r="B1528">
        <v>3</v>
      </c>
      <c r="C1528" t="s">
        <v>485</v>
      </c>
      <c r="D1528" t="s">
        <v>52</v>
      </c>
      <c r="E1528" t="s">
        <v>303</v>
      </c>
      <c r="F1528" t="s">
        <v>483</v>
      </c>
      <c r="G1528">
        <v>-11034</v>
      </c>
    </row>
    <row r="1529" spans="1:7" x14ac:dyDescent="0.35">
      <c r="A1529">
        <v>2025</v>
      </c>
      <c r="B1529">
        <v>3</v>
      </c>
      <c r="C1529" t="s">
        <v>485</v>
      </c>
      <c r="D1529" t="s">
        <v>90</v>
      </c>
      <c r="E1529" t="s">
        <v>277</v>
      </c>
      <c r="F1529" t="s">
        <v>457</v>
      </c>
      <c r="G1529">
        <v>-272479.33</v>
      </c>
    </row>
    <row r="1530" spans="1:7" x14ac:dyDescent="0.35">
      <c r="A1530">
        <v>2025</v>
      </c>
      <c r="B1530">
        <v>3</v>
      </c>
      <c r="C1530" t="s">
        <v>485</v>
      </c>
      <c r="D1530" t="s">
        <v>90</v>
      </c>
      <c r="E1530" t="s">
        <v>249</v>
      </c>
      <c r="F1530" t="s">
        <v>428</v>
      </c>
      <c r="G1530">
        <v>-481349.11</v>
      </c>
    </row>
    <row r="1531" spans="1:7" x14ac:dyDescent="0.35">
      <c r="A1531">
        <v>2025</v>
      </c>
      <c r="B1531">
        <v>3</v>
      </c>
      <c r="C1531" t="s">
        <v>485</v>
      </c>
      <c r="D1531" t="s">
        <v>84</v>
      </c>
      <c r="E1531" t="s">
        <v>250</v>
      </c>
      <c r="F1531" t="s">
        <v>429</v>
      </c>
      <c r="G1531">
        <v>-20995491.870000001</v>
      </c>
    </row>
    <row r="1532" spans="1:7" x14ac:dyDescent="0.35">
      <c r="A1532">
        <v>2025</v>
      </c>
      <c r="B1532">
        <v>3</v>
      </c>
      <c r="C1532" t="s">
        <v>485</v>
      </c>
      <c r="D1532" t="s">
        <v>81</v>
      </c>
      <c r="E1532" t="s">
        <v>251</v>
      </c>
      <c r="F1532" t="s">
        <v>430</v>
      </c>
      <c r="G1532">
        <v>-69211432.129999995</v>
      </c>
    </row>
    <row r="1533" spans="1:7" x14ac:dyDescent="0.35">
      <c r="A1533">
        <v>2025</v>
      </c>
      <c r="B1533">
        <v>3</v>
      </c>
      <c r="C1533" t="s">
        <v>485</v>
      </c>
      <c r="D1533" t="s">
        <v>81</v>
      </c>
      <c r="E1533" t="s">
        <v>252</v>
      </c>
      <c r="F1533" t="s">
        <v>431</v>
      </c>
      <c r="G1533">
        <v>-38637157.689999998</v>
      </c>
    </row>
    <row r="1534" spans="1:7" x14ac:dyDescent="0.35">
      <c r="A1534">
        <v>2025</v>
      </c>
      <c r="B1534">
        <v>3</v>
      </c>
      <c r="C1534" t="s">
        <v>485</v>
      </c>
      <c r="D1534" t="s">
        <v>81</v>
      </c>
      <c r="E1534" t="s">
        <v>289</v>
      </c>
      <c r="F1534" t="s">
        <v>471</v>
      </c>
      <c r="G1534">
        <v>-11083460.9</v>
      </c>
    </row>
    <row r="1535" spans="1:7" x14ac:dyDescent="0.35">
      <c r="A1535">
        <v>2025</v>
      </c>
      <c r="B1535">
        <v>3</v>
      </c>
      <c r="C1535" t="s">
        <v>485</v>
      </c>
      <c r="D1535" t="s">
        <v>81</v>
      </c>
      <c r="E1535" t="s">
        <v>304</v>
      </c>
      <c r="F1535" t="s">
        <v>484</v>
      </c>
      <c r="G1535">
        <v>-37986.5</v>
      </c>
    </row>
    <row r="1536" spans="1:7" x14ac:dyDescent="0.35">
      <c r="A1536">
        <v>2025</v>
      </c>
      <c r="B1536">
        <v>3</v>
      </c>
      <c r="C1536" t="s">
        <v>485</v>
      </c>
      <c r="D1536" t="s">
        <v>549</v>
      </c>
      <c r="E1536" t="s">
        <v>549</v>
      </c>
      <c r="F1536" t="s">
        <v>550</v>
      </c>
      <c r="G1536">
        <v>0</v>
      </c>
    </row>
    <row r="1537" spans="1:7" x14ac:dyDescent="0.35">
      <c r="A1537">
        <v>2025</v>
      </c>
      <c r="B1537">
        <v>3</v>
      </c>
      <c r="C1537" t="s">
        <v>485</v>
      </c>
      <c r="D1537" t="s">
        <v>551</v>
      </c>
      <c r="E1537" t="s">
        <v>552</v>
      </c>
      <c r="F1537" t="s">
        <v>553</v>
      </c>
      <c r="G1537">
        <v>0</v>
      </c>
    </row>
    <row r="1538" spans="1:7" x14ac:dyDescent="0.35">
      <c r="A1538">
        <v>2025</v>
      </c>
      <c r="B1538">
        <v>3</v>
      </c>
      <c r="C1538" t="s">
        <v>485</v>
      </c>
      <c r="D1538" t="s">
        <v>44</v>
      </c>
      <c r="E1538" t="s">
        <v>253</v>
      </c>
      <c r="F1538" t="s">
        <v>432</v>
      </c>
      <c r="G1538">
        <v>-874521</v>
      </c>
    </row>
    <row r="1539" spans="1:7" x14ac:dyDescent="0.35">
      <c r="A1539">
        <v>2025</v>
      </c>
      <c r="B1539">
        <v>3</v>
      </c>
      <c r="C1539" t="s">
        <v>485</v>
      </c>
      <c r="D1539" t="s">
        <v>16</v>
      </c>
      <c r="E1539" t="s">
        <v>254</v>
      </c>
      <c r="F1539" t="s">
        <v>433</v>
      </c>
      <c r="G1539">
        <v>-303275</v>
      </c>
    </row>
    <row r="1540" spans="1:7" x14ac:dyDescent="0.35">
      <c r="A1540">
        <v>2025</v>
      </c>
      <c r="B1540">
        <v>3</v>
      </c>
      <c r="C1540" t="s">
        <v>485</v>
      </c>
      <c r="D1540" t="s">
        <v>34</v>
      </c>
      <c r="E1540" t="s">
        <v>278</v>
      </c>
      <c r="F1540" t="s">
        <v>458</v>
      </c>
      <c r="G1540">
        <v>-1229855</v>
      </c>
    </row>
    <row r="1541" spans="1:7" x14ac:dyDescent="0.35">
      <c r="A1541">
        <v>2025</v>
      </c>
      <c r="B1541">
        <v>3</v>
      </c>
      <c r="C1541" t="s">
        <v>485</v>
      </c>
      <c r="D1541" t="s">
        <v>55</v>
      </c>
      <c r="E1541" t="s">
        <v>287</v>
      </c>
      <c r="F1541" t="s">
        <v>467</v>
      </c>
      <c r="G1541">
        <v>-182308</v>
      </c>
    </row>
    <row r="1542" spans="1:7" x14ac:dyDescent="0.35">
      <c r="A1542">
        <v>2025</v>
      </c>
      <c r="B1542">
        <v>3</v>
      </c>
      <c r="C1542" t="s">
        <v>485</v>
      </c>
      <c r="D1542" t="s">
        <v>17</v>
      </c>
      <c r="E1542" t="s">
        <v>255</v>
      </c>
      <c r="F1542" t="s">
        <v>434</v>
      </c>
      <c r="G1542">
        <v>-93649</v>
      </c>
    </row>
    <row r="1543" spans="1:7" x14ac:dyDescent="0.35">
      <c r="A1543">
        <v>2025</v>
      </c>
      <c r="B1543">
        <v>3</v>
      </c>
      <c r="C1543" t="s">
        <v>485</v>
      </c>
      <c r="D1543" t="s">
        <v>37</v>
      </c>
      <c r="E1543" t="s">
        <v>256</v>
      </c>
      <c r="F1543" t="s">
        <v>435</v>
      </c>
      <c r="G1543">
        <v>327717.65000000002</v>
      </c>
    </row>
    <row r="1544" spans="1:7" x14ac:dyDescent="0.35">
      <c r="A1544">
        <v>2025</v>
      </c>
      <c r="B1544">
        <v>3</v>
      </c>
      <c r="C1544" t="s">
        <v>485</v>
      </c>
      <c r="D1544" t="s">
        <v>37</v>
      </c>
      <c r="E1544" t="s">
        <v>257</v>
      </c>
      <c r="F1544" t="s">
        <v>436</v>
      </c>
      <c r="G1544">
        <v>40448866.719999999</v>
      </c>
    </row>
    <row r="1545" spans="1:7" x14ac:dyDescent="0.35">
      <c r="A1545">
        <v>2025</v>
      </c>
      <c r="B1545">
        <v>3</v>
      </c>
      <c r="C1545" t="s">
        <v>485</v>
      </c>
      <c r="D1545" t="s">
        <v>37</v>
      </c>
      <c r="E1545" t="s">
        <v>290</v>
      </c>
      <c r="F1545" t="s">
        <v>472</v>
      </c>
      <c r="G1545">
        <v>47421.57</v>
      </c>
    </row>
    <row r="1546" spans="1:7" x14ac:dyDescent="0.35">
      <c r="A1546">
        <v>2025</v>
      </c>
      <c r="B1546">
        <v>3</v>
      </c>
      <c r="C1546" t="s">
        <v>485</v>
      </c>
      <c r="D1546" t="s">
        <v>37</v>
      </c>
      <c r="E1546" t="s">
        <v>258</v>
      </c>
      <c r="F1546" t="s">
        <v>437</v>
      </c>
      <c r="G1546">
        <v>1725.09</v>
      </c>
    </row>
    <row r="1547" spans="1:7" x14ac:dyDescent="0.35">
      <c r="A1547">
        <v>2025</v>
      </c>
      <c r="B1547">
        <v>3</v>
      </c>
      <c r="C1547" t="s">
        <v>485</v>
      </c>
      <c r="D1547" t="s">
        <v>18</v>
      </c>
      <c r="E1547" t="s">
        <v>259</v>
      </c>
      <c r="F1547" t="s">
        <v>438</v>
      </c>
      <c r="G1547">
        <v>-270114</v>
      </c>
    </row>
    <row r="1548" spans="1:7" x14ac:dyDescent="0.35">
      <c r="A1548">
        <v>2025</v>
      </c>
      <c r="B1548">
        <v>3</v>
      </c>
      <c r="C1548" t="s">
        <v>485</v>
      </c>
      <c r="D1548" t="s">
        <v>279</v>
      </c>
      <c r="E1548" t="s">
        <v>280</v>
      </c>
      <c r="F1548" t="s">
        <v>459</v>
      </c>
      <c r="G1548">
        <v>-40480</v>
      </c>
    </row>
    <row r="1549" spans="1:7" x14ac:dyDescent="0.35">
      <c r="A1549">
        <v>2025</v>
      </c>
      <c r="B1549">
        <v>4</v>
      </c>
      <c r="C1549" t="s">
        <v>516</v>
      </c>
      <c r="E1549" t="s">
        <v>291</v>
      </c>
      <c r="F1549" t="s">
        <v>474</v>
      </c>
      <c r="G1549">
        <v>12862</v>
      </c>
    </row>
    <row r="1550" spans="1:7" x14ac:dyDescent="0.35">
      <c r="A1550">
        <v>2025</v>
      </c>
      <c r="B1550">
        <v>4</v>
      </c>
      <c r="C1550" t="s">
        <v>516</v>
      </c>
      <c r="E1550" t="s">
        <v>293</v>
      </c>
      <c r="F1550" t="s">
        <v>477</v>
      </c>
      <c r="G1550">
        <v>18617</v>
      </c>
    </row>
    <row r="1551" spans="1:7" x14ac:dyDescent="0.35">
      <c r="A1551">
        <v>2025</v>
      </c>
      <c r="B1551">
        <v>4</v>
      </c>
      <c r="C1551" t="s">
        <v>516</v>
      </c>
      <c r="E1551" t="s">
        <v>132</v>
      </c>
      <c r="F1551" t="s">
        <v>312</v>
      </c>
      <c r="G1551">
        <v>0</v>
      </c>
    </row>
    <row r="1552" spans="1:7" x14ac:dyDescent="0.35">
      <c r="A1552">
        <v>2025</v>
      </c>
      <c r="B1552">
        <v>4</v>
      </c>
      <c r="C1552" t="s">
        <v>516</v>
      </c>
      <c r="D1552" t="s">
        <v>59</v>
      </c>
      <c r="E1552" t="s">
        <v>133</v>
      </c>
      <c r="F1552" t="s">
        <v>313</v>
      </c>
      <c r="G1552">
        <v>5800</v>
      </c>
    </row>
    <row r="1553" spans="1:7" x14ac:dyDescent="0.35">
      <c r="A1553">
        <v>2025</v>
      </c>
      <c r="B1553">
        <v>4</v>
      </c>
      <c r="C1553" t="s">
        <v>516</v>
      </c>
      <c r="D1553" t="s">
        <v>6</v>
      </c>
      <c r="E1553" t="s">
        <v>135</v>
      </c>
      <c r="F1553" t="s">
        <v>316</v>
      </c>
      <c r="G1553">
        <v>11434</v>
      </c>
    </row>
    <row r="1554" spans="1:7" x14ac:dyDescent="0.35">
      <c r="A1554">
        <v>2025</v>
      </c>
      <c r="B1554">
        <v>4</v>
      </c>
      <c r="C1554" t="s">
        <v>516</v>
      </c>
      <c r="D1554" t="s">
        <v>6</v>
      </c>
      <c r="E1554" t="s">
        <v>136</v>
      </c>
      <c r="F1554" t="s">
        <v>317</v>
      </c>
      <c r="G1554">
        <v>37284</v>
      </c>
    </row>
    <row r="1555" spans="1:7" x14ac:dyDescent="0.35">
      <c r="A1555">
        <v>2025</v>
      </c>
      <c r="B1555">
        <v>4</v>
      </c>
      <c r="C1555" t="s">
        <v>516</v>
      </c>
      <c r="D1555" t="s">
        <v>6</v>
      </c>
      <c r="E1555" t="s">
        <v>137</v>
      </c>
      <c r="F1555" t="s">
        <v>318</v>
      </c>
      <c r="G1555">
        <v>70296</v>
      </c>
    </row>
    <row r="1556" spans="1:7" x14ac:dyDescent="0.35">
      <c r="A1556">
        <v>2025</v>
      </c>
      <c r="B1556">
        <v>4</v>
      </c>
      <c r="C1556" t="s">
        <v>516</v>
      </c>
      <c r="D1556" t="s">
        <v>6</v>
      </c>
      <c r="E1556" t="s">
        <v>138</v>
      </c>
      <c r="F1556" t="s">
        <v>319</v>
      </c>
      <c r="G1556">
        <v>25088</v>
      </c>
    </row>
    <row r="1557" spans="1:7" x14ac:dyDescent="0.35">
      <c r="A1557">
        <v>2025</v>
      </c>
      <c r="B1557">
        <v>4</v>
      </c>
      <c r="C1557" t="s">
        <v>516</v>
      </c>
      <c r="D1557" t="s">
        <v>62</v>
      </c>
      <c r="E1557" t="s">
        <v>260</v>
      </c>
      <c r="F1557" t="s">
        <v>440</v>
      </c>
      <c r="G1557">
        <v>62687</v>
      </c>
    </row>
    <row r="1558" spans="1:7" x14ac:dyDescent="0.35">
      <c r="A1558">
        <v>2025</v>
      </c>
      <c r="B1558">
        <v>4</v>
      </c>
      <c r="C1558" t="s">
        <v>516</v>
      </c>
      <c r="D1558" t="s">
        <v>62</v>
      </c>
      <c r="E1558" t="s">
        <v>517</v>
      </c>
      <c r="F1558" t="s">
        <v>518</v>
      </c>
      <c r="G1558">
        <v>2000</v>
      </c>
    </row>
    <row r="1559" spans="1:7" x14ac:dyDescent="0.35">
      <c r="A1559">
        <v>2025</v>
      </c>
      <c r="B1559">
        <v>4</v>
      </c>
      <c r="C1559" t="s">
        <v>516</v>
      </c>
      <c r="D1559" t="s">
        <v>19</v>
      </c>
      <c r="E1559" t="s">
        <v>142</v>
      </c>
      <c r="F1559" t="s">
        <v>323</v>
      </c>
      <c r="G1559">
        <v>766</v>
      </c>
    </row>
    <row r="1560" spans="1:7" x14ac:dyDescent="0.35">
      <c r="A1560">
        <v>2025</v>
      </c>
      <c r="B1560">
        <v>4</v>
      </c>
      <c r="C1560" t="s">
        <v>516</v>
      </c>
      <c r="D1560" t="s">
        <v>31</v>
      </c>
      <c r="E1560" t="s">
        <v>143</v>
      </c>
      <c r="F1560" t="s">
        <v>324</v>
      </c>
      <c r="G1560">
        <v>89713</v>
      </c>
    </row>
    <row r="1561" spans="1:7" x14ac:dyDescent="0.35">
      <c r="A1561">
        <v>2025</v>
      </c>
      <c r="B1561">
        <v>4</v>
      </c>
      <c r="C1561" t="s">
        <v>516</v>
      </c>
      <c r="D1561" t="s">
        <v>91</v>
      </c>
      <c r="E1561" t="s">
        <v>537</v>
      </c>
      <c r="F1561" t="s">
        <v>538</v>
      </c>
      <c r="G1561">
        <v>2696744.14</v>
      </c>
    </row>
    <row r="1562" spans="1:7" x14ac:dyDescent="0.35">
      <c r="A1562">
        <v>2025</v>
      </c>
      <c r="B1562">
        <v>4</v>
      </c>
      <c r="C1562" t="s">
        <v>516</v>
      </c>
      <c r="D1562" t="s">
        <v>7</v>
      </c>
      <c r="E1562" t="s">
        <v>147</v>
      </c>
      <c r="F1562" t="s">
        <v>328</v>
      </c>
      <c r="G1562">
        <v>37222</v>
      </c>
    </row>
    <row r="1563" spans="1:7" x14ac:dyDescent="0.35">
      <c r="A1563">
        <v>2025</v>
      </c>
      <c r="B1563">
        <v>4</v>
      </c>
      <c r="C1563" t="s">
        <v>516</v>
      </c>
      <c r="D1563" t="s">
        <v>67</v>
      </c>
      <c r="E1563" t="s">
        <v>148</v>
      </c>
      <c r="F1563" t="s">
        <v>329</v>
      </c>
      <c r="G1563">
        <v>6428</v>
      </c>
    </row>
    <row r="1564" spans="1:7" x14ac:dyDescent="0.35">
      <c r="A1564">
        <v>2025</v>
      </c>
      <c r="B1564">
        <v>4</v>
      </c>
      <c r="C1564" t="s">
        <v>516</v>
      </c>
      <c r="D1564" t="s">
        <v>67</v>
      </c>
      <c r="E1564" t="s">
        <v>149</v>
      </c>
      <c r="F1564" t="s">
        <v>330</v>
      </c>
      <c r="G1564">
        <v>5319</v>
      </c>
    </row>
    <row r="1565" spans="1:7" x14ac:dyDescent="0.35">
      <c r="A1565">
        <v>2025</v>
      </c>
      <c r="B1565">
        <v>4</v>
      </c>
      <c r="C1565" t="s">
        <v>516</v>
      </c>
      <c r="D1565" t="s">
        <v>67</v>
      </c>
      <c r="E1565" t="s">
        <v>150</v>
      </c>
      <c r="F1565" t="s">
        <v>331</v>
      </c>
      <c r="G1565">
        <v>8931</v>
      </c>
    </row>
    <row r="1566" spans="1:7" x14ac:dyDescent="0.35">
      <c r="A1566">
        <v>2025</v>
      </c>
      <c r="B1566">
        <v>4</v>
      </c>
      <c r="C1566" t="s">
        <v>516</v>
      </c>
      <c r="D1566" t="s">
        <v>67</v>
      </c>
      <c r="E1566" t="s">
        <v>151</v>
      </c>
      <c r="F1566" t="s">
        <v>332</v>
      </c>
      <c r="G1566">
        <v>11722</v>
      </c>
    </row>
    <row r="1567" spans="1:7" x14ac:dyDescent="0.35">
      <c r="A1567">
        <v>2025</v>
      </c>
      <c r="B1567">
        <v>4</v>
      </c>
      <c r="C1567" t="s">
        <v>516</v>
      </c>
      <c r="D1567" t="s">
        <v>67</v>
      </c>
      <c r="E1567" t="s">
        <v>152</v>
      </c>
      <c r="F1567" t="s">
        <v>333</v>
      </c>
      <c r="G1567">
        <v>12475</v>
      </c>
    </row>
    <row r="1568" spans="1:7" x14ac:dyDescent="0.35">
      <c r="A1568">
        <v>2025</v>
      </c>
      <c r="B1568">
        <v>4</v>
      </c>
      <c r="C1568" t="s">
        <v>516</v>
      </c>
      <c r="D1568" t="s">
        <v>93</v>
      </c>
      <c r="E1568" t="s">
        <v>153</v>
      </c>
      <c r="F1568" t="s">
        <v>334</v>
      </c>
      <c r="G1568">
        <v>43207.12</v>
      </c>
    </row>
    <row r="1569" spans="1:7" x14ac:dyDescent="0.35">
      <c r="A1569">
        <v>2025</v>
      </c>
      <c r="B1569">
        <v>4</v>
      </c>
      <c r="C1569" t="s">
        <v>516</v>
      </c>
      <c r="D1569" t="s">
        <v>93</v>
      </c>
      <c r="E1569" t="s">
        <v>154</v>
      </c>
      <c r="F1569" t="s">
        <v>335</v>
      </c>
      <c r="G1569">
        <v>8761.5499999999993</v>
      </c>
    </row>
    <row r="1570" spans="1:7" x14ac:dyDescent="0.35">
      <c r="A1570">
        <v>2025</v>
      </c>
      <c r="B1570">
        <v>4</v>
      </c>
      <c r="C1570" t="s">
        <v>516</v>
      </c>
      <c r="D1570" t="s">
        <v>93</v>
      </c>
      <c r="E1570" t="s">
        <v>281</v>
      </c>
      <c r="F1570" t="s">
        <v>461</v>
      </c>
      <c r="G1570">
        <v>2865.1</v>
      </c>
    </row>
    <row r="1571" spans="1:7" x14ac:dyDescent="0.35">
      <c r="A1571">
        <v>2025</v>
      </c>
      <c r="B1571">
        <v>4</v>
      </c>
      <c r="C1571" t="s">
        <v>516</v>
      </c>
      <c r="D1571" t="s">
        <v>89</v>
      </c>
      <c r="E1571" t="s">
        <v>155</v>
      </c>
      <c r="F1571" t="s">
        <v>336</v>
      </c>
      <c r="G1571">
        <v>-84396.44</v>
      </c>
    </row>
    <row r="1572" spans="1:7" x14ac:dyDescent="0.35">
      <c r="A1572">
        <v>2025</v>
      </c>
      <c r="B1572">
        <v>4</v>
      </c>
      <c r="C1572" t="s">
        <v>516</v>
      </c>
      <c r="D1572" t="s">
        <v>89</v>
      </c>
      <c r="E1572" t="s">
        <v>156</v>
      </c>
      <c r="F1572" t="s">
        <v>337</v>
      </c>
      <c r="G1572">
        <v>407630.18</v>
      </c>
    </row>
    <row r="1573" spans="1:7" x14ac:dyDescent="0.35">
      <c r="A1573">
        <v>2025</v>
      </c>
      <c r="B1573">
        <v>4</v>
      </c>
      <c r="C1573" t="s">
        <v>516</v>
      </c>
      <c r="D1573" t="s">
        <v>61</v>
      </c>
      <c r="E1573" t="s">
        <v>262</v>
      </c>
      <c r="F1573" t="s">
        <v>442</v>
      </c>
      <c r="G1573">
        <v>1090</v>
      </c>
    </row>
    <row r="1574" spans="1:7" x14ac:dyDescent="0.35">
      <c r="A1574">
        <v>2025</v>
      </c>
      <c r="B1574">
        <v>4</v>
      </c>
      <c r="C1574" t="s">
        <v>516</v>
      </c>
      <c r="D1574" t="s">
        <v>8</v>
      </c>
      <c r="E1574" t="s">
        <v>157</v>
      </c>
      <c r="F1574" t="s">
        <v>338</v>
      </c>
      <c r="G1574">
        <v>3250</v>
      </c>
    </row>
    <row r="1575" spans="1:7" x14ac:dyDescent="0.35">
      <c r="A1575">
        <v>2025</v>
      </c>
      <c r="B1575">
        <v>4</v>
      </c>
      <c r="C1575" t="s">
        <v>516</v>
      </c>
      <c r="D1575" t="s">
        <v>20</v>
      </c>
      <c r="E1575" t="s">
        <v>158</v>
      </c>
      <c r="F1575" t="s">
        <v>339</v>
      </c>
      <c r="G1575">
        <v>706962</v>
      </c>
    </row>
    <row r="1576" spans="1:7" x14ac:dyDescent="0.35">
      <c r="A1576">
        <v>2025</v>
      </c>
      <c r="B1576">
        <v>4</v>
      </c>
      <c r="C1576" t="s">
        <v>516</v>
      </c>
      <c r="D1576" t="s">
        <v>21</v>
      </c>
      <c r="E1576" t="s">
        <v>159</v>
      </c>
      <c r="F1576" t="s">
        <v>340</v>
      </c>
      <c r="G1576">
        <v>123620</v>
      </c>
    </row>
    <row r="1577" spans="1:7" x14ac:dyDescent="0.35">
      <c r="A1577">
        <v>2025</v>
      </c>
      <c r="B1577">
        <v>4</v>
      </c>
      <c r="C1577" t="s">
        <v>516</v>
      </c>
      <c r="D1577" t="s">
        <v>160</v>
      </c>
      <c r="E1577" t="s">
        <v>161</v>
      </c>
      <c r="F1577" t="s">
        <v>341</v>
      </c>
      <c r="G1577">
        <v>14199</v>
      </c>
    </row>
    <row r="1578" spans="1:7" x14ac:dyDescent="0.35">
      <c r="A1578">
        <v>2025</v>
      </c>
      <c r="B1578">
        <v>4</v>
      </c>
      <c r="C1578" t="s">
        <v>516</v>
      </c>
      <c r="D1578" t="s">
        <v>163</v>
      </c>
      <c r="E1578" t="s">
        <v>164</v>
      </c>
      <c r="F1578" t="s">
        <v>343</v>
      </c>
      <c r="G1578">
        <v>5999</v>
      </c>
    </row>
    <row r="1579" spans="1:7" x14ac:dyDescent="0.35">
      <c r="A1579">
        <v>2025</v>
      </c>
      <c r="B1579">
        <v>4</v>
      </c>
      <c r="C1579" t="s">
        <v>516</v>
      </c>
      <c r="D1579" t="s">
        <v>22</v>
      </c>
      <c r="E1579" t="s">
        <v>165</v>
      </c>
      <c r="F1579" t="s">
        <v>344</v>
      </c>
      <c r="G1579">
        <v>1615</v>
      </c>
    </row>
    <row r="1580" spans="1:7" x14ac:dyDescent="0.35">
      <c r="A1580">
        <v>2025</v>
      </c>
      <c r="B1580">
        <v>4</v>
      </c>
      <c r="C1580" t="s">
        <v>516</v>
      </c>
      <c r="D1580" t="s">
        <v>27</v>
      </c>
      <c r="E1580" t="s">
        <v>166</v>
      </c>
      <c r="F1580" t="s">
        <v>345</v>
      </c>
      <c r="G1580">
        <v>43390</v>
      </c>
    </row>
    <row r="1581" spans="1:7" x14ac:dyDescent="0.35">
      <c r="A1581">
        <v>2025</v>
      </c>
      <c r="B1581">
        <v>4</v>
      </c>
      <c r="C1581" t="s">
        <v>516</v>
      </c>
      <c r="D1581" t="s">
        <v>167</v>
      </c>
      <c r="E1581" t="s">
        <v>167</v>
      </c>
      <c r="F1581" t="s">
        <v>346</v>
      </c>
      <c r="G1581">
        <v>10562085</v>
      </c>
    </row>
    <row r="1582" spans="1:7" x14ac:dyDescent="0.35">
      <c r="A1582">
        <v>2025</v>
      </c>
      <c r="B1582">
        <v>4</v>
      </c>
      <c r="C1582" t="s">
        <v>516</v>
      </c>
      <c r="D1582" t="s">
        <v>9</v>
      </c>
      <c r="E1582" t="s">
        <v>168</v>
      </c>
      <c r="F1582" t="s">
        <v>347</v>
      </c>
      <c r="G1582">
        <v>2643</v>
      </c>
    </row>
    <row r="1583" spans="1:7" x14ac:dyDescent="0.35">
      <c r="A1583">
        <v>2025</v>
      </c>
      <c r="B1583">
        <v>4</v>
      </c>
      <c r="C1583" t="s">
        <v>516</v>
      </c>
      <c r="D1583" t="s">
        <v>9</v>
      </c>
      <c r="E1583" t="s">
        <v>169</v>
      </c>
      <c r="F1583" t="s">
        <v>348</v>
      </c>
      <c r="G1583">
        <v>26670</v>
      </c>
    </row>
    <row r="1584" spans="1:7" x14ac:dyDescent="0.35">
      <c r="A1584">
        <v>2025</v>
      </c>
      <c r="B1584">
        <v>4</v>
      </c>
      <c r="C1584" t="s">
        <v>516</v>
      </c>
      <c r="D1584" t="s">
        <v>72</v>
      </c>
      <c r="E1584" t="s">
        <v>170</v>
      </c>
      <c r="F1584" t="s">
        <v>349</v>
      </c>
      <c r="G1584">
        <v>47350</v>
      </c>
    </row>
    <row r="1585" spans="1:7" x14ac:dyDescent="0.35">
      <c r="A1585">
        <v>2025</v>
      </c>
      <c r="B1585">
        <v>4</v>
      </c>
      <c r="C1585" t="s">
        <v>516</v>
      </c>
      <c r="D1585" t="s">
        <v>39</v>
      </c>
      <c r="E1585" t="s">
        <v>171</v>
      </c>
      <c r="F1585" t="s">
        <v>350</v>
      </c>
      <c r="G1585">
        <v>738</v>
      </c>
    </row>
    <row r="1586" spans="1:7" x14ac:dyDescent="0.35">
      <c r="A1586">
        <v>2025</v>
      </c>
      <c r="B1586">
        <v>4</v>
      </c>
      <c r="C1586" t="s">
        <v>516</v>
      </c>
      <c r="D1586" t="s">
        <v>10</v>
      </c>
      <c r="E1586" t="s">
        <v>172</v>
      </c>
      <c r="F1586" t="s">
        <v>351</v>
      </c>
      <c r="G1586">
        <v>3350</v>
      </c>
    </row>
    <row r="1587" spans="1:7" x14ac:dyDescent="0.35">
      <c r="A1587">
        <v>2025</v>
      </c>
      <c r="B1587">
        <v>4</v>
      </c>
      <c r="C1587" t="s">
        <v>516</v>
      </c>
      <c r="D1587" t="s">
        <v>66</v>
      </c>
      <c r="E1587" t="s">
        <v>173</v>
      </c>
      <c r="F1587" t="s">
        <v>352</v>
      </c>
      <c r="G1587">
        <v>420052</v>
      </c>
    </row>
    <row r="1588" spans="1:7" x14ac:dyDescent="0.35">
      <c r="A1588">
        <v>2025</v>
      </c>
      <c r="B1588">
        <v>4</v>
      </c>
      <c r="C1588" t="s">
        <v>516</v>
      </c>
      <c r="D1588" t="s">
        <v>66</v>
      </c>
      <c r="E1588" t="s">
        <v>174</v>
      </c>
      <c r="F1588" t="s">
        <v>353</v>
      </c>
      <c r="G1588">
        <v>71717</v>
      </c>
    </row>
    <row r="1589" spans="1:7" x14ac:dyDescent="0.35">
      <c r="A1589">
        <v>2025</v>
      </c>
      <c r="B1589">
        <v>4</v>
      </c>
      <c r="C1589" t="s">
        <v>516</v>
      </c>
      <c r="D1589" t="s">
        <v>66</v>
      </c>
      <c r="E1589" t="s">
        <v>175</v>
      </c>
      <c r="F1589" t="s">
        <v>354</v>
      </c>
      <c r="G1589">
        <v>483</v>
      </c>
    </row>
    <row r="1590" spans="1:7" x14ac:dyDescent="0.35">
      <c r="A1590">
        <v>2025</v>
      </c>
      <c r="B1590">
        <v>4</v>
      </c>
      <c r="C1590" t="s">
        <v>516</v>
      </c>
      <c r="D1590" t="s">
        <v>66</v>
      </c>
      <c r="E1590" t="s">
        <v>176</v>
      </c>
      <c r="F1590" t="s">
        <v>355</v>
      </c>
      <c r="G1590">
        <v>43555</v>
      </c>
    </row>
    <row r="1591" spans="1:7" x14ac:dyDescent="0.35">
      <c r="A1591">
        <v>2025</v>
      </c>
      <c r="B1591">
        <v>4</v>
      </c>
      <c r="C1591" t="s">
        <v>516</v>
      </c>
      <c r="D1591" t="s">
        <v>66</v>
      </c>
      <c r="E1591" t="s">
        <v>177</v>
      </c>
      <c r="F1591" t="s">
        <v>356</v>
      </c>
      <c r="G1591">
        <v>40239</v>
      </c>
    </row>
    <row r="1592" spans="1:7" x14ac:dyDescent="0.35">
      <c r="A1592">
        <v>2025</v>
      </c>
      <c r="B1592">
        <v>4</v>
      </c>
      <c r="C1592" t="s">
        <v>516</v>
      </c>
      <c r="D1592" t="s">
        <v>11</v>
      </c>
      <c r="E1592" t="s">
        <v>179</v>
      </c>
      <c r="F1592" t="s">
        <v>180</v>
      </c>
      <c r="G1592">
        <v>10310</v>
      </c>
    </row>
    <row r="1593" spans="1:7" x14ac:dyDescent="0.35">
      <c r="A1593">
        <v>2025</v>
      </c>
      <c r="B1593">
        <v>4</v>
      </c>
      <c r="C1593" t="s">
        <v>516</v>
      </c>
      <c r="D1593" t="s">
        <v>543</v>
      </c>
      <c r="E1593" t="s">
        <v>544</v>
      </c>
      <c r="F1593" t="s">
        <v>545</v>
      </c>
      <c r="G1593">
        <v>2146990</v>
      </c>
    </row>
    <row r="1594" spans="1:7" x14ac:dyDescent="0.35">
      <c r="A1594">
        <v>2025</v>
      </c>
      <c r="B1594">
        <v>4</v>
      </c>
      <c r="C1594" t="s">
        <v>516</v>
      </c>
      <c r="D1594" t="s">
        <v>181</v>
      </c>
      <c r="E1594" t="s">
        <v>181</v>
      </c>
      <c r="F1594" t="s">
        <v>358</v>
      </c>
      <c r="G1594">
        <v>-639182</v>
      </c>
    </row>
    <row r="1595" spans="1:7" x14ac:dyDescent="0.35">
      <c r="A1595">
        <v>2025</v>
      </c>
      <c r="B1595">
        <v>4</v>
      </c>
      <c r="C1595" t="s">
        <v>516</v>
      </c>
      <c r="D1595" t="s">
        <v>182</v>
      </c>
      <c r="E1595" t="s">
        <v>182</v>
      </c>
      <c r="F1595" t="s">
        <v>359</v>
      </c>
      <c r="G1595">
        <v>-480171</v>
      </c>
    </row>
    <row r="1596" spans="1:7" x14ac:dyDescent="0.35">
      <c r="A1596">
        <v>2025</v>
      </c>
      <c r="B1596">
        <v>4</v>
      </c>
      <c r="C1596" t="s">
        <v>516</v>
      </c>
      <c r="D1596" t="s">
        <v>74</v>
      </c>
      <c r="E1596" t="s">
        <v>205</v>
      </c>
      <c r="F1596" t="s">
        <v>384</v>
      </c>
      <c r="G1596">
        <v>19787</v>
      </c>
    </row>
    <row r="1597" spans="1:7" x14ac:dyDescent="0.35">
      <c r="A1597">
        <v>2025</v>
      </c>
      <c r="B1597">
        <v>4</v>
      </c>
      <c r="C1597" t="s">
        <v>516</v>
      </c>
      <c r="D1597" t="s">
        <v>74</v>
      </c>
      <c r="E1597" t="s">
        <v>183</v>
      </c>
      <c r="F1597" t="s">
        <v>360</v>
      </c>
      <c r="G1597">
        <v>8160</v>
      </c>
    </row>
    <row r="1598" spans="1:7" x14ac:dyDescent="0.35">
      <c r="A1598">
        <v>2025</v>
      </c>
      <c r="B1598">
        <v>4</v>
      </c>
      <c r="C1598" t="s">
        <v>516</v>
      </c>
      <c r="D1598" t="s">
        <v>74</v>
      </c>
      <c r="E1598" t="s">
        <v>185</v>
      </c>
      <c r="F1598" t="s">
        <v>362</v>
      </c>
      <c r="G1598">
        <v>3058</v>
      </c>
    </row>
    <row r="1599" spans="1:7" x14ac:dyDescent="0.35">
      <c r="A1599">
        <v>2025</v>
      </c>
      <c r="B1599">
        <v>4</v>
      </c>
      <c r="C1599" t="s">
        <v>516</v>
      </c>
      <c r="D1599" t="s">
        <v>74</v>
      </c>
      <c r="E1599" t="s">
        <v>267</v>
      </c>
      <c r="F1599" t="s">
        <v>447</v>
      </c>
      <c r="G1599">
        <v>850</v>
      </c>
    </row>
    <row r="1600" spans="1:7" x14ac:dyDescent="0.35">
      <c r="A1600">
        <v>2025</v>
      </c>
      <c r="B1600">
        <v>4</v>
      </c>
      <c r="C1600" t="s">
        <v>516</v>
      </c>
      <c r="D1600" t="s">
        <v>74</v>
      </c>
      <c r="E1600" t="s">
        <v>186</v>
      </c>
      <c r="F1600" t="s">
        <v>364</v>
      </c>
      <c r="G1600">
        <v>8955</v>
      </c>
    </row>
    <row r="1601" spans="1:7" x14ac:dyDescent="0.35">
      <c r="A1601">
        <v>2025</v>
      </c>
      <c r="B1601">
        <v>4</v>
      </c>
      <c r="C1601" t="s">
        <v>516</v>
      </c>
      <c r="D1601" t="s">
        <v>74</v>
      </c>
      <c r="E1601" t="s">
        <v>187</v>
      </c>
      <c r="F1601" t="s">
        <v>365</v>
      </c>
      <c r="G1601">
        <v>6000</v>
      </c>
    </row>
    <row r="1602" spans="1:7" x14ac:dyDescent="0.35">
      <c r="A1602">
        <v>2025</v>
      </c>
      <c r="B1602">
        <v>4</v>
      </c>
      <c r="C1602" t="s">
        <v>516</v>
      </c>
      <c r="D1602" t="s">
        <v>74</v>
      </c>
      <c r="E1602" t="s">
        <v>283</v>
      </c>
      <c r="F1602" t="s">
        <v>463</v>
      </c>
      <c r="G1602">
        <v>308</v>
      </c>
    </row>
    <row r="1603" spans="1:7" x14ac:dyDescent="0.35">
      <c r="A1603">
        <v>2025</v>
      </c>
      <c r="B1603">
        <v>4</v>
      </c>
      <c r="C1603" t="s">
        <v>516</v>
      </c>
      <c r="D1603" t="s">
        <v>85</v>
      </c>
      <c r="E1603" t="s">
        <v>188</v>
      </c>
      <c r="F1603" t="s">
        <v>366</v>
      </c>
      <c r="G1603">
        <v>708276.84</v>
      </c>
    </row>
    <row r="1604" spans="1:7" x14ac:dyDescent="0.35">
      <c r="A1604">
        <v>2025</v>
      </c>
      <c r="B1604">
        <v>4</v>
      </c>
      <c r="C1604" t="s">
        <v>516</v>
      </c>
      <c r="D1604" t="s">
        <v>106</v>
      </c>
      <c r="E1604" t="s">
        <v>189</v>
      </c>
      <c r="F1604" t="s">
        <v>367</v>
      </c>
      <c r="G1604">
        <v>3150477</v>
      </c>
    </row>
    <row r="1605" spans="1:7" x14ac:dyDescent="0.35">
      <c r="A1605">
        <v>2025</v>
      </c>
      <c r="B1605">
        <v>4</v>
      </c>
      <c r="C1605" t="s">
        <v>516</v>
      </c>
      <c r="D1605" t="s">
        <v>106</v>
      </c>
      <c r="E1605" t="s">
        <v>190</v>
      </c>
      <c r="F1605" t="s">
        <v>368</v>
      </c>
      <c r="G1605">
        <v>170286</v>
      </c>
    </row>
    <row r="1606" spans="1:7" x14ac:dyDescent="0.35">
      <c r="A1606">
        <v>2025</v>
      </c>
      <c r="B1606">
        <v>4</v>
      </c>
      <c r="C1606" t="s">
        <v>516</v>
      </c>
      <c r="D1606" t="s">
        <v>106</v>
      </c>
      <c r="E1606" t="s">
        <v>191</v>
      </c>
      <c r="F1606" t="s">
        <v>369</v>
      </c>
      <c r="G1606">
        <v>782134</v>
      </c>
    </row>
    <row r="1607" spans="1:7" x14ac:dyDescent="0.35">
      <c r="A1607">
        <v>2025</v>
      </c>
      <c r="B1607">
        <v>4</v>
      </c>
      <c r="C1607" t="s">
        <v>516</v>
      </c>
      <c r="D1607" t="s">
        <v>106</v>
      </c>
      <c r="E1607" t="s">
        <v>192</v>
      </c>
      <c r="F1607" t="s">
        <v>370</v>
      </c>
      <c r="G1607">
        <v>283962</v>
      </c>
    </row>
    <row r="1608" spans="1:7" x14ac:dyDescent="0.35">
      <c r="A1608">
        <v>2025</v>
      </c>
      <c r="B1608">
        <v>4</v>
      </c>
      <c r="C1608" t="s">
        <v>516</v>
      </c>
      <c r="D1608" t="s">
        <v>106</v>
      </c>
      <c r="E1608" t="s">
        <v>193</v>
      </c>
      <c r="F1608" t="s">
        <v>371</v>
      </c>
      <c r="G1608">
        <v>27300</v>
      </c>
    </row>
    <row r="1609" spans="1:7" x14ac:dyDescent="0.35">
      <c r="A1609">
        <v>2025</v>
      </c>
      <c r="B1609">
        <v>4</v>
      </c>
      <c r="C1609" t="s">
        <v>516</v>
      </c>
      <c r="D1609" t="s">
        <v>106</v>
      </c>
      <c r="E1609" t="s">
        <v>194</v>
      </c>
      <c r="F1609" t="s">
        <v>372</v>
      </c>
      <c r="G1609">
        <v>600</v>
      </c>
    </row>
    <row r="1610" spans="1:7" x14ac:dyDescent="0.35">
      <c r="A1610">
        <v>2025</v>
      </c>
      <c r="B1610">
        <v>4</v>
      </c>
      <c r="C1610" t="s">
        <v>516</v>
      </c>
      <c r="D1610" t="s">
        <v>106</v>
      </c>
      <c r="E1610" t="s">
        <v>195</v>
      </c>
      <c r="F1610" t="s">
        <v>373</v>
      </c>
      <c r="G1610">
        <v>107852</v>
      </c>
    </row>
    <row r="1611" spans="1:7" x14ac:dyDescent="0.35">
      <c r="A1611">
        <v>2025</v>
      </c>
      <c r="B1611">
        <v>4</v>
      </c>
      <c r="C1611" t="s">
        <v>516</v>
      </c>
      <c r="D1611" t="s">
        <v>75</v>
      </c>
      <c r="E1611" t="s">
        <v>204</v>
      </c>
      <c r="F1611" t="s">
        <v>383</v>
      </c>
      <c r="G1611">
        <v>53500</v>
      </c>
    </row>
    <row r="1612" spans="1:7" x14ac:dyDescent="0.35">
      <c r="A1612">
        <v>2025</v>
      </c>
      <c r="B1612">
        <v>4</v>
      </c>
      <c r="C1612" t="s">
        <v>516</v>
      </c>
      <c r="D1612" t="s">
        <v>23</v>
      </c>
      <c r="E1612" t="s">
        <v>206</v>
      </c>
      <c r="F1612" t="s">
        <v>385</v>
      </c>
      <c r="G1612">
        <v>14718</v>
      </c>
    </row>
    <row r="1613" spans="1:7" x14ac:dyDescent="0.35">
      <c r="A1613">
        <v>2025</v>
      </c>
      <c r="B1613">
        <v>4</v>
      </c>
      <c r="C1613" t="s">
        <v>516</v>
      </c>
      <c r="D1613" t="s">
        <v>24</v>
      </c>
      <c r="E1613" t="s">
        <v>207</v>
      </c>
      <c r="F1613" t="s">
        <v>386</v>
      </c>
      <c r="G1613">
        <v>53177</v>
      </c>
    </row>
    <row r="1614" spans="1:7" x14ac:dyDescent="0.35">
      <c r="A1614">
        <v>2025</v>
      </c>
      <c r="B1614">
        <v>4</v>
      </c>
      <c r="C1614" t="s">
        <v>516</v>
      </c>
      <c r="D1614" t="s">
        <v>114</v>
      </c>
      <c r="E1614" t="s">
        <v>295</v>
      </c>
      <c r="F1614" t="s">
        <v>479</v>
      </c>
      <c r="G1614">
        <v>1570</v>
      </c>
    </row>
    <row r="1615" spans="1:7" x14ac:dyDescent="0.35">
      <c r="A1615">
        <v>2025</v>
      </c>
      <c r="B1615">
        <v>4</v>
      </c>
      <c r="C1615" t="s">
        <v>516</v>
      </c>
      <c r="D1615" t="s">
        <v>519</v>
      </c>
      <c r="E1615" t="s">
        <v>202</v>
      </c>
      <c r="F1615" t="s">
        <v>380</v>
      </c>
      <c r="G1615">
        <v>2910</v>
      </c>
    </row>
    <row r="1616" spans="1:7" x14ac:dyDescent="0.35">
      <c r="A1616">
        <v>2025</v>
      </c>
      <c r="B1616">
        <v>4</v>
      </c>
      <c r="C1616" t="s">
        <v>516</v>
      </c>
      <c r="D1616" t="s">
        <v>519</v>
      </c>
      <c r="E1616" t="s">
        <v>203</v>
      </c>
      <c r="F1616" t="s">
        <v>381</v>
      </c>
      <c r="G1616">
        <v>33722</v>
      </c>
    </row>
    <row r="1617" spans="1:7" x14ac:dyDescent="0.35">
      <c r="A1617">
        <v>2025</v>
      </c>
      <c r="B1617">
        <v>4</v>
      </c>
      <c r="C1617" t="s">
        <v>516</v>
      </c>
      <c r="D1617" t="s">
        <v>519</v>
      </c>
      <c r="E1617" t="s">
        <v>196</v>
      </c>
      <c r="F1617" t="s">
        <v>382</v>
      </c>
      <c r="G1617">
        <v>4.42</v>
      </c>
    </row>
    <row r="1618" spans="1:7" x14ac:dyDescent="0.35">
      <c r="A1618">
        <v>2025</v>
      </c>
      <c r="B1618">
        <v>4</v>
      </c>
      <c r="C1618" t="s">
        <v>516</v>
      </c>
      <c r="D1618" t="s">
        <v>520</v>
      </c>
      <c r="E1618" t="s">
        <v>241</v>
      </c>
      <c r="F1618" t="s">
        <v>420</v>
      </c>
      <c r="G1618">
        <v>744</v>
      </c>
    </row>
    <row r="1619" spans="1:7" x14ac:dyDescent="0.35">
      <c r="A1619">
        <v>2025</v>
      </c>
      <c r="B1619">
        <v>4</v>
      </c>
      <c r="C1619" t="s">
        <v>516</v>
      </c>
      <c r="D1619" t="s">
        <v>520</v>
      </c>
      <c r="E1619" t="s">
        <v>134</v>
      </c>
      <c r="F1619" t="s">
        <v>315</v>
      </c>
      <c r="G1619">
        <v>11675</v>
      </c>
    </row>
    <row r="1620" spans="1:7" x14ac:dyDescent="0.35">
      <c r="A1620">
        <v>2025</v>
      </c>
      <c r="B1620">
        <v>4</v>
      </c>
      <c r="C1620" t="s">
        <v>516</v>
      </c>
      <c r="D1620" t="s">
        <v>520</v>
      </c>
      <c r="E1620" t="s">
        <v>196</v>
      </c>
      <c r="F1620" t="s">
        <v>374</v>
      </c>
      <c r="G1620">
        <v>4</v>
      </c>
    </row>
    <row r="1621" spans="1:7" x14ac:dyDescent="0.35">
      <c r="A1621">
        <v>2025</v>
      </c>
      <c r="B1621">
        <v>4</v>
      </c>
      <c r="C1621" t="s">
        <v>516</v>
      </c>
      <c r="D1621" t="s">
        <v>520</v>
      </c>
      <c r="E1621" t="s">
        <v>198</v>
      </c>
      <c r="F1621" t="s">
        <v>376</v>
      </c>
      <c r="G1621">
        <v>1928</v>
      </c>
    </row>
    <row r="1622" spans="1:7" x14ac:dyDescent="0.35">
      <c r="A1622">
        <v>2025</v>
      </c>
      <c r="B1622">
        <v>4</v>
      </c>
      <c r="C1622" t="s">
        <v>516</v>
      </c>
      <c r="D1622" t="s">
        <v>520</v>
      </c>
      <c r="E1622" t="s">
        <v>200</v>
      </c>
      <c r="F1622" t="s">
        <v>378</v>
      </c>
      <c r="G1622">
        <v>2951</v>
      </c>
    </row>
    <row r="1623" spans="1:7" x14ac:dyDescent="0.35">
      <c r="A1623">
        <v>2025</v>
      </c>
      <c r="B1623">
        <v>4</v>
      </c>
      <c r="C1623" t="s">
        <v>516</v>
      </c>
      <c r="D1623" t="s">
        <v>520</v>
      </c>
      <c r="E1623" t="s">
        <v>201</v>
      </c>
      <c r="F1623" t="s">
        <v>379</v>
      </c>
      <c r="G1623">
        <v>1736</v>
      </c>
    </row>
    <row r="1624" spans="1:7" x14ac:dyDescent="0.35">
      <c r="A1624">
        <v>2025</v>
      </c>
      <c r="B1624">
        <v>4</v>
      </c>
      <c r="C1624" t="s">
        <v>516</v>
      </c>
      <c r="D1624" t="s">
        <v>12</v>
      </c>
      <c r="E1624" t="s">
        <v>210</v>
      </c>
      <c r="F1624" t="s">
        <v>389</v>
      </c>
      <c r="G1624">
        <v>3121</v>
      </c>
    </row>
    <row r="1625" spans="1:7" x14ac:dyDescent="0.35">
      <c r="A1625">
        <v>2025</v>
      </c>
      <c r="B1625">
        <v>4</v>
      </c>
      <c r="C1625" t="s">
        <v>516</v>
      </c>
      <c r="D1625" t="s">
        <v>12</v>
      </c>
      <c r="E1625" t="s">
        <v>212</v>
      </c>
      <c r="F1625" t="s">
        <v>391</v>
      </c>
      <c r="G1625">
        <v>3046</v>
      </c>
    </row>
    <row r="1626" spans="1:7" x14ac:dyDescent="0.35">
      <c r="A1626">
        <v>2025</v>
      </c>
      <c r="B1626">
        <v>4</v>
      </c>
      <c r="C1626" t="s">
        <v>516</v>
      </c>
      <c r="D1626" t="s">
        <v>12</v>
      </c>
      <c r="E1626" t="s">
        <v>273</v>
      </c>
      <c r="F1626" t="s">
        <v>453</v>
      </c>
      <c r="G1626">
        <v>990</v>
      </c>
    </row>
    <row r="1627" spans="1:7" x14ac:dyDescent="0.35">
      <c r="A1627">
        <v>2025</v>
      </c>
      <c r="B1627">
        <v>4</v>
      </c>
      <c r="C1627" t="s">
        <v>516</v>
      </c>
      <c r="D1627" t="s">
        <v>12</v>
      </c>
      <c r="E1627" t="s">
        <v>213</v>
      </c>
      <c r="F1627" t="s">
        <v>392</v>
      </c>
      <c r="G1627">
        <v>8554</v>
      </c>
    </row>
    <row r="1628" spans="1:7" x14ac:dyDescent="0.35">
      <c r="A1628">
        <v>2025</v>
      </c>
      <c r="B1628">
        <v>4</v>
      </c>
      <c r="C1628" t="s">
        <v>516</v>
      </c>
      <c r="D1628" t="s">
        <v>12</v>
      </c>
      <c r="E1628" t="s">
        <v>215</v>
      </c>
      <c r="F1628" t="s">
        <v>395</v>
      </c>
      <c r="G1628">
        <v>1863</v>
      </c>
    </row>
    <row r="1629" spans="1:7" x14ac:dyDescent="0.35">
      <c r="A1629">
        <v>2025</v>
      </c>
      <c r="B1629">
        <v>4</v>
      </c>
      <c r="C1629" t="s">
        <v>516</v>
      </c>
      <c r="D1629" t="s">
        <v>12</v>
      </c>
      <c r="E1629" t="s">
        <v>216</v>
      </c>
      <c r="F1629" t="s">
        <v>396</v>
      </c>
      <c r="G1629">
        <v>7711</v>
      </c>
    </row>
    <row r="1630" spans="1:7" x14ac:dyDescent="0.35">
      <c r="A1630">
        <v>2025</v>
      </c>
      <c r="B1630">
        <v>4</v>
      </c>
      <c r="C1630" t="s">
        <v>516</v>
      </c>
      <c r="D1630" t="s">
        <v>12</v>
      </c>
      <c r="E1630" t="s">
        <v>217</v>
      </c>
      <c r="F1630" t="s">
        <v>397</v>
      </c>
      <c r="G1630">
        <v>2398</v>
      </c>
    </row>
    <row r="1631" spans="1:7" x14ac:dyDescent="0.35">
      <c r="A1631">
        <v>2025</v>
      </c>
      <c r="B1631">
        <v>4</v>
      </c>
      <c r="C1631" t="s">
        <v>516</v>
      </c>
      <c r="D1631" t="s">
        <v>12</v>
      </c>
      <c r="E1631" t="s">
        <v>218</v>
      </c>
      <c r="F1631" t="s">
        <v>398</v>
      </c>
      <c r="G1631">
        <v>5732</v>
      </c>
    </row>
    <row r="1632" spans="1:7" x14ac:dyDescent="0.35">
      <c r="A1632">
        <v>2025</v>
      </c>
      <c r="B1632">
        <v>4</v>
      </c>
      <c r="C1632" t="s">
        <v>516</v>
      </c>
      <c r="D1632" t="s">
        <v>12</v>
      </c>
      <c r="E1632" t="s">
        <v>219</v>
      </c>
      <c r="F1632" t="s">
        <v>399</v>
      </c>
      <c r="G1632">
        <v>4302</v>
      </c>
    </row>
    <row r="1633" spans="1:7" x14ac:dyDescent="0.35">
      <c r="A1633">
        <v>2025</v>
      </c>
      <c r="B1633">
        <v>4</v>
      </c>
      <c r="C1633" t="s">
        <v>516</v>
      </c>
      <c r="D1633" t="s">
        <v>12</v>
      </c>
      <c r="E1633" t="s">
        <v>220</v>
      </c>
      <c r="F1633" t="s">
        <v>400</v>
      </c>
      <c r="G1633">
        <v>4719</v>
      </c>
    </row>
    <row r="1634" spans="1:7" x14ac:dyDescent="0.35">
      <c r="A1634">
        <v>2025</v>
      </c>
      <c r="B1634">
        <v>4</v>
      </c>
      <c r="C1634" t="s">
        <v>516</v>
      </c>
      <c r="D1634" t="s">
        <v>12</v>
      </c>
      <c r="E1634" t="s">
        <v>221</v>
      </c>
      <c r="F1634" t="s">
        <v>401</v>
      </c>
      <c r="G1634">
        <v>3727</v>
      </c>
    </row>
    <row r="1635" spans="1:7" x14ac:dyDescent="0.35">
      <c r="A1635">
        <v>2025</v>
      </c>
      <c r="B1635">
        <v>4</v>
      </c>
      <c r="C1635" t="s">
        <v>516</v>
      </c>
      <c r="D1635" t="s">
        <v>12</v>
      </c>
      <c r="E1635" t="s">
        <v>222</v>
      </c>
      <c r="F1635" t="s">
        <v>402</v>
      </c>
      <c r="G1635">
        <v>6969</v>
      </c>
    </row>
    <row r="1636" spans="1:7" x14ac:dyDescent="0.35">
      <c r="A1636">
        <v>2025</v>
      </c>
      <c r="B1636">
        <v>4</v>
      </c>
      <c r="C1636" t="s">
        <v>516</v>
      </c>
      <c r="D1636" t="s">
        <v>28</v>
      </c>
      <c r="E1636" t="s">
        <v>223</v>
      </c>
      <c r="F1636" t="s">
        <v>403</v>
      </c>
      <c r="G1636">
        <v>24332</v>
      </c>
    </row>
    <row r="1637" spans="1:7" x14ac:dyDescent="0.35">
      <c r="A1637">
        <v>2025</v>
      </c>
      <c r="B1637">
        <v>4</v>
      </c>
      <c r="C1637" t="s">
        <v>516</v>
      </c>
      <c r="D1637" t="s">
        <v>28</v>
      </c>
      <c r="E1637" t="s">
        <v>224</v>
      </c>
      <c r="F1637" t="s">
        <v>404</v>
      </c>
      <c r="G1637">
        <v>20464</v>
      </c>
    </row>
    <row r="1638" spans="1:7" x14ac:dyDescent="0.35">
      <c r="A1638">
        <v>2025</v>
      </c>
      <c r="B1638">
        <v>4</v>
      </c>
      <c r="C1638" t="s">
        <v>516</v>
      </c>
      <c r="D1638" t="s">
        <v>64</v>
      </c>
      <c r="E1638" t="s">
        <v>225</v>
      </c>
      <c r="F1638" t="s">
        <v>405</v>
      </c>
      <c r="G1638">
        <v>3866</v>
      </c>
    </row>
    <row r="1639" spans="1:7" x14ac:dyDescent="0.35">
      <c r="A1639">
        <v>2025</v>
      </c>
      <c r="B1639">
        <v>4</v>
      </c>
      <c r="C1639" t="s">
        <v>516</v>
      </c>
      <c r="D1639" t="s">
        <v>29</v>
      </c>
      <c r="E1639" t="s">
        <v>226</v>
      </c>
      <c r="F1639" t="s">
        <v>406</v>
      </c>
      <c r="G1639">
        <v>5518</v>
      </c>
    </row>
    <row r="1640" spans="1:7" x14ac:dyDescent="0.35">
      <c r="A1640">
        <v>2025</v>
      </c>
      <c r="B1640">
        <v>4</v>
      </c>
      <c r="C1640" t="s">
        <v>516</v>
      </c>
      <c r="D1640" t="s">
        <v>102</v>
      </c>
      <c r="E1640" t="s">
        <v>227</v>
      </c>
      <c r="F1640" t="s">
        <v>407</v>
      </c>
      <c r="G1640">
        <v>1685584</v>
      </c>
    </row>
    <row r="1641" spans="1:7" x14ac:dyDescent="0.35">
      <c r="A1641">
        <v>2025</v>
      </c>
      <c r="B1641">
        <v>4</v>
      </c>
      <c r="C1641" t="s">
        <v>516</v>
      </c>
      <c r="D1641" t="s">
        <v>229</v>
      </c>
      <c r="E1641" t="s">
        <v>230</v>
      </c>
      <c r="F1641" t="s">
        <v>409</v>
      </c>
      <c r="G1641">
        <v>-25712</v>
      </c>
    </row>
    <row r="1642" spans="1:7" x14ac:dyDescent="0.35">
      <c r="A1642">
        <v>2025</v>
      </c>
      <c r="B1642">
        <v>4</v>
      </c>
      <c r="C1642" t="s">
        <v>516</v>
      </c>
      <c r="D1642" t="s">
        <v>94</v>
      </c>
      <c r="E1642" t="s">
        <v>233</v>
      </c>
      <c r="F1642" t="s">
        <v>412</v>
      </c>
      <c r="G1642">
        <v>28000</v>
      </c>
    </row>
    <row r="1643" spans="1:7" x14ac:dyDescent="0.35">
      <c r="A1643">
        <v>2025</v>
      </c>
      <c r="B1643">
        <v>4</v>
      </c>
      <c r="C1643" t="s">
        <v>516</v>
      </c>
      <c r="D1643" t="s">
        <v>45</v>
      </c>
      <c r="E1643" t="s">
        <v>276</v>
      </c>
      <c r="F1643" t="s">
        <v>456</v>
      </c>
      <c r="G1643">
        <v>37375</v>
      </c>
    </row>
    <row r="1644" spans="1:7" x14ac:dyDescent="0.35">
      <c r="A1644">
        <v>2025</v>
      </c>
      <c r="B1644">
        <v>4</v>
      </c>
      <c r="C1644" t="s">
        <v>516</v>
      </c>
      <c r="D1644" t="s">
        <v>76</v>
      </c>
      <c r="E1644" t="s">
        <v>237</v>
      </c>
      <c r="F1644" t="s">
        <v>416</v>
      </c>
      <c r="G1644">
        <v>40732.5</v>
      </c>
    </row>
    <row r="1645" spans="1:7" x14ac:dyDescent="0.35">
      <c r="A1645">
        <v>2025</v>
      </c>
      <c r="B1645">
        <v>4</v>
      </c>
      <c r="C1645" t="s">
        <v>516</v>
      </c>
      <c r="D1645" t="s">
        <v>76</v>
      </c>
      <c r="E1645" t="s">
        <v>238</v>
      </c>
      <c r="F1645" t="s">
        <v>417</v>
      </c>
      <c r="G1645">
        <v>388304.8</v>
      </c>
    </row>
    <row r="1646" spans="1:7" x14ac:dyDescent="0.35">
      <c r="A1646">
        <v>2025</v>
      </c>
      <c r="B1646">
        <v>4</v>
      </c>
      <c r="C1646" t="s">
        <v>516</v>
      </c>
      <c r="D1646" t="s">
        <v>76</v>
      </c>
      <c r="E1646" t="s">
        <v>239</v>
      </c>
      <c r="F1646" t="s">
        <v>418</v>
      </c>
      <c r="G1646">
        <v>-29346.93</v>
      </c>
    </row>
    <row r="1647" spans="1:7" x14ac:dyDescent="0.35">
      <c r="A1647">
        <v>2025</v>
      </c>
      <c r="B1647">
        <v>4</v>
      </c>
      <c r="C1647" t="s">
        <v>516</v>
      </c>
      <c r="D1647" t="s">
        <v>35</v>
      </c>
      <c r="E1647" t="s">
        <v>240</v>
      </c>
      <c r="F1647" t="s">
        <v>419</v>
      </c>
      <c r="G1647">
        <v>100375</v>
      </c>
    </row>
    <row r="1648" spans="1:7" x14ac:dyDescent="0.35">
      <c r="A1648">
        <v>2025</v>
      </c>
      <c r="B1648">
        <v>4</v>
      </c>
      <c r="C1648" t="s">
        <v>516</v>
      </c>
      <c r="D1648" t="s">
        <v>103</v>
      </c>
      <c r="E1648" t="s">
        <v>242</v>
      </c>
      <c r="F1648" t="s">
        <v>421</v>
      </c>
      <c r="G1648">
        <v>925824</v>
      </c>
    </row>
    <row r="1649" spans="1:7" x14ac:dyDescent="0.35">
      <c r="A1649">
        <v>2025</v>
      </c>
      <c r="B1649">
        <v>4</v>
      </c>
      <c r="C1649" t="s">
        <v>516</v>
      </c>
      <c r="D1649" t="s">
        <v>104</v>
      </c>
      <c r="E1649" t="s">
        <v>243</v>
      </c>
      <c r="F1649" t="s">
        <v>422</v>
      </c>
      <c r="G1649">
        <v>11114369</v>
      </c>
    </row>
    <row r="1650" spans="1:7" x14ac:dyDescent="0.35">
      <c r="A1650">
        <v>2025</v>
      </c>
      <c r="B1650">
        <v>4</v>
      </c>
      <c r="C1650" t="s">
        <v>516</v>
      </c>
      <c r="D1650" t="s">
        <v>244</v>
      </c>
      <c r="E1650" t="s">
        <v>245</v>
      </c>
      <c r="F1650" t="s">
        <v>423</v>
      </c>
      <c r="G1650">
        <v>11472314</v>
      </c>
    </row>
    <row r="1651" spans="1:7" x14ac:dyDescent="0.35">
      <c r="A1651">
        <v>2025</v>
      </c>
      <c r="B1651">
        <v>4</v>
      </c>
      <c r="C1651" t="s">
        <v>516</v>
      </c>
      <c r="D1651" t="s">
        <v>14</v>
      </c>
      <c r="E1651" t="s">
        <v>131</v>
      </c>
      <c r="F1651" t="s">
        <v>425</v>
      </c>
      <c r="G1651">
        <v>103472</v>
      </c>
    </row>
    <row r="1652" spans="1:7" x14ac:dyDescent="0.35">
      <c r="A1652">
        <v>2025</v>
      </c>
      <c r="B1652">
        <v>4</v>
      </c>
      <c r="C1652" t="s">
        <v>516</v>
      </c>
      <c r="D1652" t="s">
        <v>30</v>
      </c>
      <c r="E1652" t="s">
        <v>247</v>
      </c>
      <c r="F1652" t="s">
        <v>426</v>
      </c>
      <c r="G1652">
        <v>4635</v>
      </c>
    </row>
    <row r="1653" spans="1:7" x14ac:dyDescent="0.35">
      <c r="A1653">
        <v>2025</v>
      </c>
      <c r="B1653">
        <v>4</v>
      </c>
      <c r="C1653" t="s">
        <v>516</v>
      </c>
      <c r="D1653" t="s">
        <v>84</v>
      </c>
      <c r="E1653" t="s">
        <v>250</v>
      </c>
      <c r="F1653" t="s">
        <v>429</v>
      </c>
      <c r="G1653">
        <v>2225655.89</v>
      </c>
    </row>
    <row r="1654" spans="1:7" x14ac:dyDescent="0.35">
      <c r="A1654">
        <v>2025</v>
      </c>
      <c r="B1654">
        <v>4</v>
      </c>
      <c r="C1654" t="s">
        <v>516</v>
      </c>
      <c r="D1654" t="s">
        <v>81</v>
      </c>
      <c r="E1654" t="s">
        <v>251</v>
      </c>
      <c r="F1654" t="s">
        <v>430</v>
      </c>
      <c r="G1654">
        <v>8854556.9600000009</v>
      </c>
    </row>
    <row r="1655" spans="1:7" x14ac:dyDescent="0.35">
      <c r="A1655">
        <v>2025</v>
      </c>
      <c r="B1655">
        <v>4</v>
      </c>
      <c r="C1655" t="s">
        <v>516</v>
      </c>
      <c r="D1655" t="s">
        <v>81</v>
      </c>
      <c r="E1655" t="s">
        <v>252</v>
      </c>
      <c r="F1655" t="s">
        <v>431</v>
      </c>
      <c r="G1655">
        <v>1041734</v>
      </c>
    </row>
    <row r="1656" spans="1:7" x14ac:dyDescent="0.35">
      <c r="A1656">
        <v>2025</v>
      </c>
      <c r="B1656">
        <v>4</v>
      </c>
      <c r="C1656" t="s">
        <v>516</v>
      </c>
      <c r="D1656" t="s">
        <v>81</v>
      </c>
      <c r="E1656" t="s">
        <v>289</v>
      </c>
      <c r="F1656" t="s">
        <v>471</v>
      </c>
      <c r="G1656">
        <v>695900</v>
      </c>
    </row>
    <row r="1657" spans="1:7" x14ac:dyDescent="0.35">
      <c r="A1657">
        <v>2025</v>
      </c>
      <c r="B1657">
        <v>4</v>
      </c>
      <c r="C1657" t="s">
        <v>516</v>
      </c>
      <c r="D1657" t="s">
        <v>44</v>
      </c>
      <c r="E1657" t="s">
        <v>253</v>
      </c>
      <c r="F1657" t="s">
        <v>432</v>
      </c>
      <c r="G1657">
        <v>55000</v>
      </c>
    </row>
    <row r="1658" spans="1:7" x14ac:dyDescent="0.35">
      <c r="A1658">
        <v>2025</v>
      </c>
      <c r="B1658">
        <v>4</v>
      </c>
      <c r="C1658" t="s">
        <v>516</v>
      </c>
      <c r="D1658" t="s">
        <v>17</v>
      </c>
      <c r="E1658" t="s">
        <v>255</v>
      </c>
      <c r="F1658" t="s">
        <v>434</v>
      </c>
      <c r="G1658">
        <v>20550</v>
      </c>
    </row>
    <row r="1659" spans="1:7" x14ac:dyDescent="0.35">
      <c r="A1659">
        <v>2025</v>
      </c>
      <c r="B1659">
        <v>4</v>
      </c>
      <c r="C1659" t="s">
        <v>516</v>
      </c>
      <c r="D1659" t="s">
        <v>37</v>
      </c>
      <c r="E1659" t="s">
        <v>256</v>
      </c>
      <c r="F1659" t="s">
        <v>435</v>
      </c>
      <c r="G1659">
        <v>-25604.7</v>
      </c>
    </row>
    <row r="1660" spans="1:7" x14ac:dyDescent="0.35">
      <c r="A1660">
        <v>2025</v>
      </c>
      <c r="B1660">
        <v>4</v>
      </c>
      <c r="C1660" t="s">
        <v>516</v>
      </c>
      <c r="D1660" t="s">
        <v>37</v>
      </c>
      <c r="E1660" t="s">
        <v>257</v>
      </c>
      <c r="F1660" t="s">
        <v>436</v>
      </c>
      <c r="G1660">
        <v>-4129908.7</v>
      </c>
    </row>
    <row r="1661" spans="1:7" x14ac:dyDescent="0.35">
      <c r="A1661">
        <v>2025</v>
      </c>
      <c r="B1661">
        <v>4</v>
      </c>
      <c r="C1661" t="s">
        <v>516</v>
      </c>
      <c r="D1661" t="s">
        <v>18</v>
      </c>
      <c r="E1661" t="s">
        <v>259</v>
      </c>
      <c r="F1661" t="s">
        <v>438</v>
      </c>
      <c r="G1661">
        <v>29400</v>
      </c>
    </row>
    <row r="1662" spans="1:7" x14ac:dyDescent="0.35">
      <c r="A1662">
        <v>2025</v>
      </c>
      <c r="B1662">
        <v>5</v>
      </c>
      <c r="C1662" t="s">
        <v>527</v>
      </c>
      <c r="E1662" t="s">
        <v>291</v>
      </c>
      <c r="F1662" t="s">
        <v>474</v>
      </c>
      <c r="G1662">
        <v>10882</v>
      </c>
    </row>
    <row r="1663" spans="1:7" x14ac:dyDescent="0.35">
      <c r="A1663">
        <v>2025</v>
      </c>
      <c r="B1663">
        <v>5</v>
      </c>
      <c r="C1663" t="s">
        <v>527</v>
      </c>
      <c r="E1663" t="s">
        <v>528</v>
      </c>
      <c r="F1663" t="s">
        <v>529</v>
      </c>
      <c r="G1663">
        <v>10298</v>
      </c>
    </row>
    <row r="1664" spans="1:7" x14ac:dyDescent="0.35">
      <c r="A1664">
        <v>2025</v>
      </c>
      <c r="B1664">
        <v>5</v>
      </c>
      <c r="C1664" t="s">
        <v>527</v>
      </c>
      <c r="D1664" t="s">
        <v>59</v>
      </c>
      <c r="E1664" t="s">
        <v>133</v>
      </c>
      <c r="F1664" t="s">
        <v>313</v>
      </c>
      <c r="G1664">
        <v>5800</v>
      </c>
    </row>
    <row r="1665" spans="1:7" x14ac:dyDescent="0.35">
      <c r="A1665">
        <v>2025</v>
      </c>
      <c r="B1665">
        <v>5</v>
      </c>
      <c r="C1665" t="s">
        <v>527</v>
      </c>
      <c r="D1665" t="s">
        <v>6</v>
      </c>
      <c r="E1665" t="s">
        <v>135</v>
      </c>
      <c r="F1665" t="s">
        <v>316</v>
      </c>
      <c r="G1665">
        <v>39391</v>
      </c>
    </row>
    <row r="1666" spans="1:7" x14ac:dyDescent="0.35">
      <c r="A1666">
        <v>2025</v>
      </c>
      <c r="B1666">
        <v>5</v>
      </c>
      <c r="C1666" t="s">
        <v>527</v>
      </c>
      <c r="D1666" t="s">
        <v>6</v>
      </c>
      <c r="E1666" t="s">
        <v>136</v>
      </c>
      <c r="F1666" t="s">
        <v>317</v>
      </c>
      <c r="G1666">
        <v>35121</v>
      </c>
    </row>
    <row r="1667" spans="1:7" x14ac:dyDescent="0.35">
      <c r="A1667">
        <v>2025</v>
      </c>
      <c r="B1667">
        <v>5</v>
      </c>
      <c r="C1667" t="s">
        <v>527</v>
      </c>
      <c r="D1667" t="s">
        <v>6</v>
      </c>
      <c r="E1667" t="s">
        <v>137</v>
      </c>
      <c r="F1667" t="s">
        <v>318</v>
      </c>
      <c r="G1667">
        <v>38664</v>
      </c>
    </row>
    <row r="1668" spans="1:7" x14ac:dyDescent="0.35">
      <c r="A1668">
        <v>2025</v>
      </c>
      <c r="B1668">
        <v>5</v>
      </c>
      <c r="C1668" t="s">
        <v>527</v>
      </c>
      <c r="D1668" t="s">
        <v>62</v>
      </c>
      <c r="E1668" t="s">
        <v>261</v>
      </c>
      <c r="F1668" t="s">
        <v>441</v>
      </c>
      <c r="G1668">
        <v>2304</v>
      </c>
    </row>
    <row r="1669" spans="1:7" x14ac:dyDescent="0.35">
      <c r="A1669">
        <v>2025</v>
      </c>
      <c r="B1669">
        <v>5</v>
      </c>
      <c r="C1669" t="s">
        <v>527</v>
      </c>
      <c r="D1669" t="s">
        <v>19</v>
      </c>
      <c r="E1669" t="s">
        <v>142</v>
      </c>
      <c r="F1669" t="s">
        <v>323</v>
      </c>
      <c r="G1669">
        <v>4489</v>
      </c>
    </row>
    <row r="1670" spans="1:7" x14ac:dyDescent="0.35">
      <c r="A1670">
        <v>2025</v>
      </c>
      <c r="B1670">
        <v>5</v>
      </c>
      <c r="C1670" t="s">
        <v>527</v>
      </c>
      <c r="D1670" t="s">
        <v>31</v>
      </c>
      <c r="E1670" t="s">
        <v>143</v>
      </c>
      <c r="F1670" t="s">
        <v>324</v>
      </c>
      <c r="G1670">
        <v>67832</v>
      </c>
    </row>
    <row r="1671" spans="1:7" x14ac:dyDescent="0.35">
      <c r="A1671">
        <v>2025</v>
      </c>
      <c r="B1671">
        <v>5</v>
      </c>
      <c r="C1671" t="s">
        <v>527</v>
      </c>
      <c r="D1671" t="s">
        <v>26</v>
      </c>
      <c r="E1671" t="s">
        <v>144</v>
      </c>
      <c r="F1671" t="s">
        <v>325</v>
      </c>
      <c r="G1671">
        <v>5444</v>
      </c>
    </row>
    <row r="1672" spans="1:7" x14ac:dyDescent="0.35">
      <c r="A1672">
        <v>2025</v>
      </c>
      <c r="B1672">
        <v>5</v>
      </c>
      <c r="C1672" t="s">
        <v>527</v>
      </c>
      <c r="D1672" t="s">
        <v>41</v>
      </c>
      <c r="E1672" t="s">
        <v>145</v>
      </c>
      <c r="F1672" t="s">
        <v>326</v>
      </c>
      <c r="G1672">
        <v>15759</v>
      </c>
    </row>
    <row r="1673" spans="1:7" x14ac:dyDescent="0.35">
      <c r="A1673">
        <v>2025</v>
      </c>
      <c r="B1673">
        <v>5</v>
      </c>
      <c r="C1673" t="s">
        <v>527</v>
      </c>
      <c r="D1673" t="s">
        <v>7</v>
      </c>
      <c r="E1673" t="s">
        <v>147</v>
      </c>
      <c r="F1673" t="s">
        <v>328</v>
      </c>
      <c r="G1673">
        <v>34865</v>
      </c>
    </row>
    <row r="1674" spans="1:7" x14ac:dyDescent="0.35">
      <c r="A1674">
        <v>2025</v>
      </c>
      <c r="B1674">
        <v>5</v>
      </c>
      <c r="C1674" t="s">
        <v>527</v>
      </c>
      <c r="D1674" t="s">
        <v>67</v>
      </c>
      <c r="E1674" t="s">
        <v>148</v>
      </c>
      <c r="F1674" t="s">
        <v>329</v>
      </c>
      <c r="G1674">
        <v>6244</v>
      </c>
    </row>
    <row r="1675" spans="1:7" x14ac:dyDescent="0.35">
      <c r="A1675">
        <v>2025</v>
      </c>
      <c r="B1675">
        <v>5</v>
      </c>
      <c r="C1675" t="s">
        <v>527</v>
      </c>
      <c r="D1675" t="s">
        <v>67</v>
      </c>
      <c r="E1675" t="s">
        <v>149</v>
      </c>
      <c r="F1675" t="s">
        <v>330</v>
      </c>
      <c r="G1675">
        <v>5066</v>
      </c>
    </row>
    <row r="1676" spans="1:7" x14ac:dyDescent="0.35">
      <c r="A1676">
        <v>2025</v>
      </c>
      <c r="B1676">
        <v>5</v>
      </c>
      <c r="C1676" t="s">
        <v>527</v>
      </c>
      <c r="D1676" t="s">
        <v>67</v>
      </c>
      <c r="E1676" t="s">
        <v>150</v>
      </c>
      <c r="F1676" t="s">
        <v>331</v>
      </c>
      <c r="G1676">
        <v>8298</v>
      </c>
    </row>
    <row r="1677" spans="1:7" x14ac:dyDescent="0.35">
      <c r="A1677">
        <v>2025</v>
      </c>
      <c r="B1677">
        <v>5</v>
      </c>
      <c r="C1677" t="s">
        <v>527</v>
      </c>
      <c r="D1677" t="s">
        <v>67</v>
      </c>
      <c r="E1677" t="s">
        <v>151</v>
      </c>
      <c r="F1677" t="s">
        <v>332</v>
      </c>
      <c r="G1677">
        <v>856</v>
      </c>
    </row>
    <row r="1678" spans="1:7" x14ac:dyDescent="0.35">
      <c r="A1678">
        <v>2025</v>
      </c>
      <c r="B1678">
        <v>5</v>
      </c>
      <c r="C1678" t="s">
        <v>527</v>
      </c>
      <c r="D1678" t="s">
        <v>67</v>
      </c>
      <c r="E1678" t="s">
        <v>152</v>
      </c>
      <c r="F1678" t="s">
        <v>333</v>
      </c>
      <c r="G1678">
        <v>11002</v>
      </c>
    </row>
    <row r="1679" spans="1:7" x14ac:dyDescent="0.35">
      <c r="A1679">
        <v>2025</v>
      </c>
      <c r="B1679">
        <v>5</v>
      </c>
      <c r="C1679" t="s">
        <v>527</v>
      </c>
      <c r="D1679" t="s">
        <v>93</v>
      </c>
      <c r="E1679" t="s">
        <v>153</v>
      </c>
      <c r="F1679" t="s">
        <v>334</v>
      </c>
      <c r="G1679">
        <v>45120.53</v>
      </c>
    </row>
    <row r="1680" spans="1:7" x14ac:dyDescent="0.35">
      <c r="A1680">
        <v>2025</v>
      </c>
      <c r="B1680">
        <v>5</v>
      </c>
      <c r="C1680" t="s">
        <v>527</v>
      </c>
      <c r="D1680" t="s">
        <v>93</v>
      </c>
      <c r="E1680" t="s">
        <v>154</v>
      </c>
      <c r="F1680" t="s">
        <v>335</v>
      </c>
      <c r="G1680">
        <v>187559.56</v>
      </c>
    </row>
    <row r="1681" spans="1:7" x14ac:dyDescent="0.35">
      <c r="A1681">
        <v>2025</v>
      </c>
      <c r="B1681">
        <v>5</v>
      </c>
      <c r="C1681" t="s">
        <v>527</v>
      </c>
      <c r="D1681" t="s">
        <v>93</v>
      </c>
      <c r="E1681" t="s">
        <v>281</v>
      </c>
      <c r="F1681" t="s">
        <v>461</v>
      </c>
      <c r="G1681">
        <v>4500</v>
      </c>
    </row>
    <row r="1682" spans="1:7" x14ac:dyDescent="0.35">
      <c r="A1682">
        <v>2025</v>
      </c>
      <c r="B1682">
        <v>5</v>
      </c>
      <c r="C1682" t="s">
        <v>527</v>
      </c>
      <c r="D1682" t="s">
        <v>89</v>
      </c>
      <c r="E1682" t="s">
        <v>155</v>
      </c>
      <c r="F1682" t="s">
        <v>336</v>
      </c>
      <c r="G1682">
        <v>-90721.32</v>
      </c>
    </row>
    <row r="1683" spans="1:7" x14ac:dyDescent="0.35">
      <c r="A1683">
        <v>2025</v>
      </c>
      <c r="B1683">
        <v>5</v>
      </c>
      <c r="C1683" t="s">
        <v>527</v>
      </c>
      <c r="D1683" t="s">
        <v>89</v>
      </c>
      <c r="E1683" t="s">
        <v>156</v>
      </c>
      <c r="F1683" t="s">
        <v>337</v>
      </c>
      <c r="G1683">
        <v>437877.44</v>
      </c>
    </row>
    <row r="1684" spans="1:7" x14ac:dyDescent="0.35">
      <c r="A1684">
        <v>2025</v>
      </c>
      <c r="B1684">
        <v>5</v>
      </c>
      <c r="C1684" t="s">
        <v>527</v>
      </c>
      <c r="D1684" t="s">
        <v>61</v>
      </c>
      <c r="E1684" t="s">
        <v>262</v>
      </c>
      <c r="F1684" t="s">
        <v>442</v>
      </c>
      <c r="G1684">
        <v>22055</v>
      </c>
    </row>
    <row r="1685" spans="1:7" x14ac:dyDescent="0.35">
      <c r="A1685">
        <v>2025</v>
      </c>
      <c r="B1685">
        <v>5</v>
      </c>
      <c r="C1685" t="s">
        <v>527</v>
      </c>
      <c r="D1685" t="s">
        <v>487</v>
      </c>
      <c r="E1685" t="s">
        <v>488</v>
      </c>
      <c r="F1685" t="s">
        <v>489</v>
      </c>
      <c r="G1685">
        <v>11300</v>
      </c>
    </row>
    <row r="1686" spans="1:7" x14ac:dyDescent="0.35">
      <c r="A1686">
        <v>2025</v>
      </c>
      <c r="B1686">
        <v>5</v>
      </c>
      <c r="C1686" t="s">
        <v>527</v>
      </c>
      <c r="D1686" t="s">
        <v>20</v>
      </c>
      <c r="E1686" t="s">
        <v>158</v>
      </c>
      <c r="F1686" t="s">
        <v>339</v>
      </c>
      <c r="G1686">
        <v>729051</v>
      </c>
    </row>
    <row r="1687" spans="1:7" x14ac:dyDescent="0.35">
      <c r="A1687">
        <v>2025</v>
      </c>
      <c r="B1687">
        <v>5</v>
      </c>
      <c r="C1687" t="s">
        <v>527</v>
      </c>
      <c r="D1687" t="s">
        <v>21</v>
      </c>
      <c r="E1687" t="s">
        <v>159</v>
      </c>
      <c r="F1687" t="s">
        <v>340</v>
      </c>
      <c r="G1687">
        <v>125775</v>
      </c>
    </row>
    <row r="1688" spans="1:7" x14ac:dyDescent="0.35">
      <c r="A1688">
        <v>2025</v>
      </c>
      <c r="B1688">
        <v>5</v>
      </c>
      <c r="C1688" t="s">
        <v>527</v>
      </c>
      <c r="D1688" t="s">
        <v>160</v>
      </c>
      <c r="E1688" t="s">
        <v>161</v>
      </c>
      <c r="F1688" t="s">
        <v>341</v>
      </c>
      <c r="G1688">
        <v>195063</v>
      </c>
    </row>
    <row r="1689" spans="1:7" x14ac:dyDescent="0.35">
      <c r="A1689">
        <v>2025</v>
      </c>
      <c r="B1689">
        <v>5</v>
      </c>
      <c r="C1689" t="s">
        <v>527</v>
      </c>
      <c r="D1689" t="s">
        <v>32</v>
      </c>
      <c r="E1689" t="s">
        <v>162</v>
      </c>
      <c r="F1689" t="s">
        <v>342</v>
      </c>
      <c r="G1689">
        <v>1570</v>
      </c>
    </row>
    <row r="1690" spans="1:7" x14ac:dyDescent="0.35">
      <c r="A1690">
        <v>2025</v>
      </c>
      <c r="B1690">
        <v>5</v>
      </c>
      <c r="C1690" t="s">
        <v>527</v>
      </c>
      <c r="D1690" t="s">
        <v>22</v>
      </c>
      <c r="E1690" t="s">
        <v>165</v>
      </c>
      <c r="F1690" t="s">
        <v>344</v>
      </c>
      <c r="G1690">
        <v>4733</v>
      </c>
    </row>
    <row r="1691" spans="1:7" x14ac:dyDescent="0.35">
      <c r="A1691">
        <v>2025</v>
      </c>
      <c r="B1691">
        <v>5</v>
      </c>
      <c r="C1691" t="s">
        <v>527</v>
      </c>
      <c r="D1691" t="s">
        <v>27</v>
      </c>
      <c r="E1691" t="s">
        <v>166</v>
      </c>
      <c r="F1691" t="s">
        <v>345</v>
      </c>
      <c r="G1691">
        <v>29590</v>
      </c>
    </row>
    <row r="1692" spans="1:7" x14ac:dyDescent="0.35">
      <c r="A1692">
        <v>2025</v>
      </c>
      <c r="B1692">
        <v>5</v>
      </c>
      <c r="C1692" t="s">
        <v>527</v>
      </c>
      <c r="D1692" t="s">
        <v>167</v>
      </c>
      <c r="E1692" t="s">
        <v>167</v>
      </c>
      <c r="F1692" t="s">
        <v>346</v>
      </c>
      <c r="G1692">
        <v>-2346146</v>
      </c>
    </row>
    <row r="1693" spans="1:7" x14ac:dyDescent="0.35">
      <c r="A1693">
        <v>2025</v>
      </c>
      <c r="B1693">
        <v>5</v>
      </c>
      <c r="C1693" t="s">
        <v>527</v>
      </c>
      <c r="D1693" t="s">
        <v>9</v>
      </c>
      <c r="E1693" t="s">
        <v>168</v>
      </c>
      <c r="F1693" t="s">
        <v>347</v>
      </c>
      <c r="G1693">
        <v>14094</v>
      </c>
    </row>
    <row r="1694" spans="1:7" x14ac:dyDescent="0.35">
      <c r="A1694">
        <v>2025</v>
      </c>
      <c r="B1694">
        <v>5</v>
      </c>
      <c r="C1694" t="s">
        <v>527</v>
      </c>
      <c r="D1694" t="s">
        <v>9</v>
      </c>
      <c r="E1694" t="s">
        <v>169</v>
      </c>
      <c r="F1694" t="s">
        <v>348</v>
      </c>
      <c r="G1694">
        <v>13960</v>
      </c>
    </row>
    <row r="1695" spans="1:7" x14ac:dyDescent="0.35">
      <c r="A1695">
        <v>2025</v>
      </c>
      <c r="B1695">
        <v>5</v>
      </c>
      <c r="C1695" t="s">
        <v>527</v>
      </c>
      <c r="D1695" t="s">
        <v>72</v>
      </c>
      <c r="E1695" t="s">
        <v>170</v>
      </c>
      <c r="F1695" t="s">
        <v>349</v>
      </c>
      <c r="G1695">
        <v>89500</v>
      </c>
    </row>
    <row r="1696" spans="1:7" x14ac:dyDescent="0.35">
      <c r="A1696">
        <v>2025</v>
      </c>
      <c r="B1696">
        <v>5</v>
      </c>
      <c r="C1696" t="s">
        <v>527</v>
      </c>
      <c r="D1696" t="s">
        <v>39</v>
      </c>
      <c r="E1696" t="s">
        <v>171</v>
      </c>
      <c r="F1696" t="s">
        <v>350</v>
      </c>
      <c r="G1696">
        <v>276</v>
      </c>
    </row>
    <row r="1697" spans="1:7" x14ac:dyDescent="0.35">
      <c r="A1697">
        <v>2025</v>
      </c>
      <c r="B1697">
        <v>5</v>
      </c>
      <c r="C1697" t="s">
        <v>527</v>
      </c>
      <c r="D1697" t="s">
        <v>10</v>
      </c>
      <c r="E1697" t="s">
        <v>172</v>
      </c>
      <c r="F1697" t="s">
        <v>351</v>
      </c>
      <c r="G1697">
        <v>11346</v>
      </c>
    </row>
    <row r="1698" spans="1:7" x14ac:dyDescent="0.35">
      <c r="A1698">
        <v>2025</v>
      </c>
      <c r="B1698">
        <v>5</v>
      </c>
      <c r="C1698" t="s">
        <v>527</v>
      </c>
      <c r="D1698" t="s">
        <v>66</v>
      </c>
      <c r="E1698" t="s">
        <v>173</v>
      </c>
      <c r="F1698" t="s">
        <v>352</v>
      </c>
      <c r="G1698">
        <v>420052</v>
      </c>
    </row>
    <row r="1699" spans="1:7" x14ac:dyDescent="0.35">
      <c r="A1699">
        <v>2025</v>
      </c>
      <c r="B1699">
        <v>5</v>
      </c>
      <c r="C1699" t="s">
        <v>527</v>
      </c>
      <c r="D1699" t="s">
        <v>66</v>
      </c>
      <c r="E1699" t="s">
        <v>174</v>
      </c>
      <c r="F1699" t="s">
        <v>353</v>
      </c>
      <c r="G1699">
        <v>71717</v>
      </c>
    </row>
    <row r="1700" spans="1:7" x14ac:dyDescent="0.35">
      <c r="A1700">
        <v>2025</v>
      </c>
      <c r="B1700">
        <v>5</v>
      </c>
      <c r="C1700" t="s">
        <v>527</v>
      </c>
      <c r="D1700" t="s">
        <v>66</v>
      </c>
      <c r="E1700" t="s">
        <v>175</v>
      </c>
      <c r="F1700" t="s">
        <v>354</v>
      </c>
      <c r="G1700">
        <v>483</v>
      </c>
    </row>
    <row r="1701" spans="1:7" x14ac:dyDescent="0.35">
      <c r="A1701">
        <v>2025</v>
      </c>
      <c r="B1701">
        <v>5</v>
      </c>
      <c r="C1701" t="s">
        <v>527</v>
      </c>
      <c r="D1701" t="s">
        <v>66</v>
      </c>
      <c r="E1701" t="s">
        <v>176</v>
      </c>
      <c r="F1701" t="s">
        <v>355</v>
      </c>
      <c r="G1701">
        <v>43555</v>
      </c>
    </row>
    <row r="1702" spans="1:7" x14ac:dyDescent="0.35">
      <c r="A1702">
        <v>2025</v>
      </c>
      <c r="B1702">
        <v>5</v>
      </c>
      <c r="C1702" t="s">
        <v>527</v>
      </c>
      <c r="D1702" t="s">
        <v>66</v>
      </c>
      <c r="E1702" t="s">
        <v>177</v>
      </c>
      <c r="F1702" t="s">
        <v>356</v>
      </c>
      <c r="G1702">
        <v>40239</v>
      </c>
    </row>
    <row r="1703" spans="1:7" x14ac:dyDescent="0.35">
      <c r="A1703">
        <v>2025</v>
      </c>
      <c r="B1703">
        <v>5</v>
      </c>
      <c r="C1703" t="s">
        <v>527</v>
      </c>
      <c r="D1703" t="s">
        <v>11</v>
      </c>
      <c r="E1703" t="s">
        <v>179</v>
      </c>
      <c r="F1703" t="s">
        <v>180</v>
      </c>
      <c r="G1703">
        <v>20954</v>
      </c>
    </row>
    <row r="1704" spans="1:7" x14ac:dyDescent="0.35">
      <c r="A1704">
        <v>2025</v>
      </c>
      <c r="B1704">
        <v>5</v>
      </c>
      <c r="C1704" t="s">
        <v>527</v>
      </c>
      <c r="D1704" t="s">
        <v>74</v>
      </c>
      <c r="E1704" t="s">
        <v>205</v>
      </c>
      <c r="F1704" t="s">
        <v>384</v>
      </c>
      <c r="G1704">
        <v>289</v>
      </c>
    </row>
    <row r="1705" spans="1:7" x14ac:dyDescent="0.35">
      <c r="A1705">
        <v>2025</v>
      </c>
      <c r="B1705">
        <v>5</v>
      </c>
      <c r="C1705" t="s">
        <v>527</v>
      </c>
      <c r="D1705" t="s">
        <v>74</v>
      </c>
      <c r="E1705" t="s">
        <v>264</v>
      </c>
      <c r="F1705" t="s">
        <v>444</v>
      </c>
      <c r="G1705">
        <v>1853</v>
      </c>
    </row>
    <row r="1706" spans="1:7" x14ac:dyDescent="0.35">
      <c r="A1706">
        <v>2025</v>
      </c>
      <c r="B1706">
        <v>5</v>
      </c>
      <c r="C1706" t="s">
        <v>527</v>
      </c>
      <c r="D1706" t="s">
        <v>74</v>
      </c>
      <c r="E1706" t="s">
        <v>282</v>
      </c>
      <c r="F1706" t="s">
        <v>462</v>
      </c>
      <c r="G1706">
        <v>164</v>
      </c>
    </row>
    <row r="1707" spans="1:7" x14ac:dyDescent="0.35">
      <c r="A1707">
        <v>2025</v>
      </c>
      <c r="B1707">
        <v>5</v>
      </c>
      <c r="C1707" t="s">
        <v>527</v>
      </c>
      <c r="D1707" t="s">
        <v>74</v>
      </c>
      <c r="E1707" t="s">
        <v>269</v>
      </c>
      <c r="F1707" t="s">
        <v>449</v>
      </c>
      <c r="G1707">
        <v>10381</v>
      </c>
    </row>
    <row r="1708" spans="1:7" x14ac:dyDescent="0.35">
      <c r="A1708">
        <v>2025</v>
      </c>
      <c r="B1708">
        <v>5</v>
      </c>
      <c r="C1708" t="s">
        <v>527</v>
      </c>
      <c r="D1708" t="s">
        <v>74</v>
      </c>
      <c r="E1708" t="s">
        <v>270</v>
      </c>
      <c r="F1708" t="s">
        <v>450</v>
      </c>
      <c r="G1708">
        <v>1937</v>
      </c>
    </row>
    <row r="1709" spans="1:7" x14ac:dyDescent="0.35">
      <c r="A1709">
        <v>2025</v>
      </c>
      <c r="B1709">
        <v>5</v>
      </c>
      <c r="C1709" t="s">
        <v>527</v>
      </c>
      <c r="D1709" t="s">
        <v>74</v>
      </c>
      <c r="E1709" t="s">
        <v>283</v>
      </c>
      <c r="F1709" t="s">
        <v>463</v>
      </c>
      <c r="G1709">
        <v>1021</v>
      </c>
    </row>
    <row r="1710" spans="1:7" x14ac:dyDescent="0.35">
      <c r="A1710">
        <v>2025</v>
      </c>
      <c r="B1710">
        <v>5</v>
      </c>
      <c r="C1710" t="s">
        <v>527</v>
      </c>
      <c r="D1710" t="s">
        <v>85</v>
      </c>
      <c r="E1710" t="s">
        <v>188</v>
      </c>
      <c r="F1710" t="s">
        <v>366</v>
      </c>
      <c r="G1710">
        <v>1155946.49</v>
      </c>
    </row>
    <row r="1711" spans="1:7" x14ac:dyDescent="0.35">
      <c r="A1711">
        <v>2025</v>
      </c>
      <c r="B1711">
        <v>5</v>
      </c>
      <c r="C1711" t="s">
        <v>527</v>
      </c>
      <c r="D1711" t="s">
        <v>106</v>
      </c>
      <c r="E1711" t="s">
        <v>189</v>
      </c>
      <c r="F1711" t="s">
        <v>367</v>
      </c>
      <c r="G1711">
        <v>3309291</v>
      </c>
    </row>
    <row r="1712" spans="1:7" x14ac:dyDescent="0.35">
      <c r="A1712">
        <v>2025</v>
      </c>
      <c r="B1712">
        <v>5</v>
      </c>
      <c r="C1712" t="s">
        <v>527</v>
      </c>
      <c r="D1712" t="s">
        <v>106</v>
      </c>
      <c r="E1712" t="s">
        <v>190</v>
      </c>
      <c r="F1712" t="s">
        <v>368</v>
      </c>
      <c r="G1712">
        <v>171949</v>
      </c>
    </row>
    <row r="1713" spans="1:7" x14ac:dyDescent="0.35">
      <c r="A1713">
        <v>2025</v>
      </c>
      <c r="B1713">
        <v>5</v>
      </c>
      <c r="C1713" t="s">
        <v>527</v>
      </c>
      <c r="D1713" t="s">
        <v>106</v>
      </c>
      <c r="E1713" t="s">
        <v>191</v>
      </c>
      <c r="F1713" t="s">
        <v>369</v>
      </c>
      <c r="G1713">
        <v>821534</v>
      </c>
    </row>
    <row r="1714" spans="1:7" x14ac:dyDescent="0.35">
      <c r="A1714">
        <v>2025</v>
      </c>
      <c r="B1714">
        <v>5</v>
      </c>
      <c r="C1714" t="s">
        <v>527</v>
      </c>
      <c r="D1714" t="s">
        <v>106</v>
      </c>
      <c r="E1714" t="s">
        <v>192</v>
      </c>
      <c r="F1714" t="s">
        <v>370</v>
      </c>
      <c r="G1714">
        <v>298133</v>
      </c>
    </row>
    <row r="1715" spans="1:7" x14ac:dyDescent="0.35">
      <c r="A1715">
        <v>2025</v>
      </c>
      <c r="B1715">
        <v>5</v>
      </c>
      <c r="C1715" t="s">
        <v>527</v>
      </c>
      <c r="D1715" t="s">
        <v>106</v>
      </c>
      <c r="E1715" t="s">
        <v>193</v>
      </c>
      <c r="F1715" t="s">
        <v>371</v>
      </c>
      <c r="G1715">
        <v>28100</v>
      </c>
    </row>
    <row r="1716" spans="1:7" x14ac:dyDescent="0.35">
      <c r="A1716">
        <v>2025</v>
      </c>
      <c r="B1716">
        <v>5</v>
      </c>
      <c r="C1716" t="s">
        <v>527</v>
      </c>
      <c r="D1716" t="s">
        <v>106</v>
      </c>
      <c r="E1716" t="s">
        <v>194</v>
      </c>
      <c r="F1716" t="s">
        <v>372</v>
      </c>
      <c r="G1716">
        <v>1650</v>
      </c>
    </row>
    <row r="1717" spans="1:7" x14ac:dyDescent="0.35">
      <c r="A1717">
        <v>2025</v>
      </c>
      <c r="B1717">
        <v>5</v>
      </c>
      <c r="C1717" t="s">
        <v>527</v>
      </c>
      <c r="D1717" t="s">
        <v>106</v>
      </c>
      <c r="E1717" t="s">
        <v>195</v>
      </c>
      <c r="F1717" t="s">
        <v>373</v>
      </c>
      <c r="G1717">
        <v>99999</v>
      </c>
    </row>
    <row r="1718" spans="1:7" x14ac:dyDescent="0.35">
      <c r="A1718">
        <v>2025</v>
      </c>
      <c r="B1718">
        <v>5</v>
      </c>
      <c r="C1718" t="s">
        <v>527</v>
      </c>
      <c r="D1718" t="s">
        <v>490</v>
      </c>
      <c r="E1718" t="s">
        <v>490</v>
      </c>
      <c r="F1718" t="s">
        <v>491</v>
      </c>
      <c r="G1718">
        <v>500</v>
      </c>
    </row>
    <row r="1719" spans="1:7" x14ac:dyDescent="0.35">
      <c r="A1719">
        <v>2025</v>
      </c>
      <c r="B1719">
        <v>5</v>
      </c>
      <c r="C1719" t="s">
        <v>527</v>
      </c>
      <c r="D1719" t="s">
        <v>23</v>
      </c>
      <c r="E1719" t="s">
        <v>206</v>
      </c>
      <c r="F1719" t="s">
        <v>385</v>
      </c>
      <c r="G1719">
        <v>36824</v>
      </c>
    </row>
    <row r="1720" spans="1:7" x14ac:dyDescent="0.35">
      <c r="A1720">
        <v>2025</v>
      </c>
      <c r="B1720">
        <v>5</v>
      </c>
      <c r="C1720" t="s">
        <v>527</v>
      </c>
      <c r="D1720" t="s">
        <v>24</v>
      </c>
      <c r="E1720" t="s">
        <v>207</v>
      </c>
      <c r="F1720" t="s">
        <v>386</v>
      </c>
      <c r="G1720">
        <v>12578</v>
      </c>
    </row>
    <row r="1721" spans="1:7" x14ac:dyDescent="0.35">
      <c r="A1721">
        <v>2025</v>
      </c>
      <c r="B1721">
        <v>5</v>
      </c>
      <c r="C1721" t="s">
        <v>527</v>
      </c>
      <c r="D1721" t="s">
        <v>114</v>
      </c>
      <c r="E1721" t="s">
        <v>295</v>
      </c>
      <c r="F1721" t="s">
        <v>479</v>
      </c>
      <c r="G1721">
        <v>343</v>
      </c>
    </row>
    <row r="1722" spans="1:7" x14ac:dyDescent="0.35">
      <c r="A1722">
        <v>2025</v>
      </c>
      <c r="B1722">
        <v>5</v>
      </c>
      <c r="C1722" t="s">
        <v>527</v>
      </c>
      <c r="D1722" t="s">
        <v>519</v>
      </c>
      <c r="E1722" t="s">
        <v>203</v>
      </c>
      <c r="F1722" t="s">
        <v>381</v>
      </c>
      <c r="G1722">
        <v>117.45</v>
      </c>
    </row>
    <row r="1723" spans="1:7" x14ac:dyDescent="0.35">
      <c r="A1723">
        <v>2025</v>
      </c>
      <c r="B1723">
        <v>5</v>
      </c>
      <c r="C1723" t="s">
        <v>527</v>
      </c>
      <c r="D1723" t="s">
        <v>519</v>
      </c>
      <c r="E1723" t="s">
        <v>196</v>
      </c>
      <c r="F1723" t="s">
        <v>382</v>
      </c>
      <c r="G1723">
        <v>5.58</v>
      </c>
    </row>
    <row r="1724" spans="1:7" x14ac:dyDescent="0.35">
      <c r="A1724">
        <v>2025</v>
      </c>
      <c r="B1724">
        <v>5</v>
      </c>
      <c r="C1724" t="s">
        <v>527</v>
      </c>
      <c r="D1724" t="s">
        <v>520</v>
      </c>
      <c r="E1724" t="s">
        <v>208</v>
      </c>
      <c r="F1724" t="s">
        <v>387</v>
      </c>
      <c r="G1724">
        <v>165</v>
      </c>
    </row>
    <row r="1725" spans="1:7" x14ac:dyDescent="0.35">
      <c r="A1725">
        <v>2025</v>
      </c>
      <c r="B1725">
        <v>5</v>
      </c>
      <c r="C1725" t="s">
        <v>527</v>
      </c>
      <c r="D1725" t="s">
        <v>520</v>
      </c>
      <c r="E1725" t="s">
        <v>134</v>
      </c>
      <c r="F1725" t="s">
        <v>315</v>
      </c>
      <c r="G1725">
        <v>12957</v>
      </c>
    </row>
    <row r="1726" spans="1:7" x14ac:dyDescent="0.35">
      <c r="A1726">
        <v>2025</v>
      </c>
      <c r="B1726">
        <v>5</v>
      </c>
      <c r="C1726" t="s">
        <v>527</v>
      </c>
      <c r="D1726" t="s">
        <v>520</v>
      </c>
      <c r="E1726" t="s">
        <v>196</v>
      </c>
      <c r="F1726" t="s">
        <v>374</v>
      </c>
      <c r="G1726">
        <v>5</v>
      </c>
    </row>
    <row r="1727" spans="1:7" x14ac:dyDescent="0.35">
      <c r="A1727">
        <v>2025</v>
      </c>
      <c r="B1727">
        <v>5</v>
      </c>
      <c r="C1727" t="s">
        <v>527</v>
      </c>
      <c r="D1727" t="s">
        <v>520</v>
      </c>
      <c r="E1727" t="s">
        <v>198</v>
      </c>
      <c r="F1727" t="s">
        <v>376</v>
      </c>
      <c r="G1727">
        <v>3924</v>
      </c>
    </row>
    <row r="1728" spans="1:7" x14ac:dyDescent="0.35">
      <c r="A1728">
        <v>2025</v>
      </c>
      <c r="B1728">
        <v>5</v>
      </c>
      <c r="C1728" t="s">
        <v>527</v>
      </c>
      <c r="D1728" t="s">
        <v>520</v>
      </c>
      <c r="E1728" t="s">
        <v>200</v>
      </c>
      <c r="F1728" t="s">
        <v>378</v>
      </c>
      <c r="G1728">
        <v>2951</v>
      </c>
    </row>
    <row r="1729" spans="1:7" x14ac:dyDescent="0.35">
      <c r="A1729">
        <v>2025</v>
      </c>
      <c r="B1729">
        <v>5</v>
      </c>
      <c r="C1729" t="s">
        <v>527</v>
      </c>
      <c r="D1729" t="s">
        <v>520</v>
      </c>
      <c r="E1729" t="s">
        <v>201</v>
      </c>
      <c r="F1729" t="s">
        <v>379</v>
      </c>
      <c r="G1729">
        <v>1244</v>
      </c>
    </row>
    <row r="1730" spans="1:7" x14ac:dyDescent="0.35">
      <c r="A1730">
        <v>2025</v>
      </c>
      <c r="B1730">
        <v>5</v>
      </c>
      <c r="C1730" t="s">
        <v>527</v>
      </c>
      <c r="D1730" t="s">
        <v>33</v>
      </c>
      <c r="E1730" t="s">
        <v>209</v>
      </c>
      <c r="F1730" t="s">
        <v>388</v>
      </c>
      <c r="G1730">
        <v>16725</v>
      </c>
    </row>
    <row r="1731" spans="1:7" x14ac:dyDescent="0.35">
      <c r="A1731">
        <v>2025</v>
      </c>
      <c r="B1731">
        <v>5</v>
      </c>
      <c r="C1731" t="s">
        <v>527</v>
      </c>
      <c r="D1731" t="s">
        <v>12</v>
      </c>
      <c r="E1731" t="s">
        <v>210</v>
      </c>
      <c r="F1731" t="s">
        <v>389</v>
      </c>
      <c r="G1731">
        <v>2024</v>
      </c>
    </row>
    <row r="1732" spans="1:7" x14ac:dyDescent="0.35">
      <c r="A1732">
        <v>2025</v>
      </c>
      <c r="B1732">
        <v>5</v>
      </c>
      <c r="C1732" t="s">
        <v>527</v>
      </c>
      <c r="D1732" t="s">
        <v>12</v>
      </c>
      <c r="E1732" t="s">
        <v>211</v>
      </c>
      <c r="F1732" t="s">
        <v>390</v>
      </c>
      <c r="G1732">
        <v>1145</v>
      </c>
    </row>
    <row r="1733" spans="1:7" x14ac:dyDescent="0.35">
      <c r="A1733">
        <v>2025</v>
      </c>
      <c r="B1733">
        <v>5</v>
      </c>
      <c r="C1733" t="s">
        <v>527</v>
      </c>
      <c r="D1733" t="s">
        <v>12</v>
      </c>
      <c r="E1733" t="s">
        <v>273</v>
      </c>
      <c r="F1733" t="s">
        <v>453</v>
      </c>
      <c r="G1733">
        <v>1530</v>
      </c>
    </row>
    <row r="1734" spans="1:7" x14ac:dyDescent="0.35">
      <c r="A1734">
        <v>2025</v>
      </c>
      <c r="B1734">
        <v>5</v>
      </c>
      <c r="C1734" t="s">
        <v>527</v>
      </c>
      <c r="D1734" t="s">
        <v>12</v>
      </c>
      <c r="E1734" t="s">
        <v>213</v>
      </c>
      <c r="F1734" t="s">
        <v>392</v>
      </c>
      <c r="G1734">
        <v>9215</v>
      </c>
    </row>
    <row r="1735" spans="1:7" x14ac:dyDescent="0.35">
      <c r="A1735">
        <v>2025</v>
      </c>
      <c r="B1735">
        <v>5</v>
      </c>
      <c r="C1735" t="s">
        <v>527</v>
      </c>
      <c r="D1735" t="s">
        <v>12</v>
      </c>
      <c r="E1735" t="s">
        <v>214</v>
      </c>
      <c r="F1735" t="s">
        <v>394</v>
      </c>
      <c r="G1735">
        <v>4845</v>
      </c>
    </row>
    <row r="1736" spans="1:7" x14ac:dyDescent="0.35">
      <c r="A1736">
        <v>2025</v>
      </c>
      <c r="B1736">
        <v>5</v>
      </c>
      <c r="C1736" t="s">
        <v>527</v>
      </c>
      <c r="D1736" t="s">
        <v>12</v>
      </c>
      <c r="E1736" t="s">
        <v>215</v>
      </c>
      <c r="F1736" t="s">
        <v>395</v>
      </c>
      <c r="G1736">
        <v>2653</v>
      </c>
    </row>
    <row r="1737" spans="1:7" x14ac:dyDescent="0.35">
      <c r="A1737">
        <v>2025</v>
      </c>
      <c r="B1737">
        <v>5</v>
      </c>
      <c r="C1737" t="s">
        <v>527</v>
      </c>
      <c r="D1737" t="s">
        <v>12</v>
      </c>
      <c r="E1737" t="s">
        <v>217</v>
      </c>
      <c r="F1737" t="s">
        <v>397</v>
      </c>
      <c r="G1737">
        <v>1995</v>
      </c>
    </row>
    <row r="1738" spans="1:7" x14ac:dyDescent="0.35">
      <c r="A1738">
        <v>2025</v>
      </c>
      <c r="B1738">
        <v>5</v>
      </c>
      <c r="C1738" t="s">
        <v>527</v>
      </c>
      <c r="D1738" t="s">
        <v>12</v>
      </c>
      <c r="E1738" t="s">
        <v>218</v>
      </c>
      <c r="F1738" t="s">
        <v>398</v>
      </c>
      <c r="G1738">
        <v>7067</v>
      </c>
    </row>
    <row r="1739" spans="1:7" x14ac:dyDescent="0.35">
      <c r="A1739">
        <v>2025</v>
      </c>
      <c r="B1739">
        <v>5</v>
      </c>
      <c r="C1739" t="s">
        <v>527</v>
      </c>
      <c r="D1739" t="s">
        <v>12</v>
      </c>
      <c r="E1739" t="s">
        <v>219</v>
      </c>
      <c r="F1739" t="s">
        <v>399</v>
      </c>
      <c r="G1739">
        <v>4272</v>
      </c>
    </row>
    <row r="1740" spans="1:7" x14ac:dyDescent="0.35">
      <c r="A1740">
        <v>2025</v>
      </c>
      <c r="B1740">
        <v>5</v>
      </c>
      <c r="C1740" t="s">
        <v>527</v>
      </c>
      <c r="D1740" t="s">
        <v>12</v>
      </c>
      <c r="E1740" t="s">
        <v>220</v>
      </c>
      <c r="F1740" t="s">
        <v>400</v>
      </c>
      <c r="G1740">
        <v>4156</v>
      </c>
    </row>
    <row r="1741" spans="1:7" x14ac:dyDescent="0.35">
      <c r="A1741">
        <v>2025</v>
      </c>
      <c r="B1741">
        <v>5</v>
      </c>
      <c r="C1741" t="s">
        <v>527</v>
      </c>
      <c r="D1741" t="s">
        <v>12</v>
      </c>
      <c r="E1741" t="s">
        <v>221</v>
      </c>
      <c r="F1741" t="s">
        <v>401</v>
      </c>
      <c r="G1741">
        <v>3123</v>
      </c>
    </row>
    <row r="1742" spans="1:7" x14ac:dyDescent="0.35">
      <c r="A1742">
        <v>2025</v>
      </c>
      <c r="B1742">
        <v>5</v>
      </c>
      <c r="C1742" t="s">
        <v>527</v>
      </c>
      <c r="D1742" t="s">
        <v>12</v>
      </c>
      <c r="E1742" t="s">
        <v>222</v>
      </c>
      <c r="F1742" t="s">
        <v>402</v>
      </c>
      <c r="G1742">
        <v>2424</v>
      </c>
    </row>
    <row r="1743" spans="1:7" x14ac:dyDescent="0.35">
      <c r="A1743">
        <v>2025</v>
      </c>
      <c r="B1743">
        <v>5</v>
      </c>
      <c r="C1743" t="s">
        <v>527</v>
      </c>
      <c r="D1743" t="s">
        <v>28</v>
      </c>
      <c r="E1743" t="s">
        <v>223</v>
      </c>
      <c r="F1743" t="s">
        <v>403</v>
      </c>
      <c r="G1743">
        <v>19860</v>
      </c>
    </row>
    <row r="1744" spans="1:7" x14ac:dyDescent="0.35">
      <c r="A1744">
        <v>2025</v>
      </c>
      <c r="B1744">
        <v>5</v>
      </c>
      <c r="C1744" t="s">
        <v>527</v>
      </c>
      <c r="D1744" t="s">
        <v>28</v>
      </c>
      <c r="E1744" t="s">
        <v>224</v>
      </c>
      <c r="F1744" t="s">
        <v>404</v>
      </c>
      <c r="G1744">
        <v>42974</v>
      </c>
    </row>
    <row r="1745" spans="1:7" x14ac:dyDescent="0.35">
      <c r="A1745">
        <v>2025</v>
      </c>
      <c r="B1745">
        <v>5</v>
      </c>
      <c r="C1745" t="s">
        <v>527</v>
      </c>
      <c r="D1745" t="s">
        <v>64</v>
      </c>
      <c r="E1745" t="s">
        <v>225</v>
      </c>
      <c r="F1745" t="s">
        <v>405</v>
      </c>
      <c r="G1745">
        <v>3866</v>
      </c>
    </row>
    <row r="1746" spans="1:7" x14ac:dyDescent="0.35">
      <c r="A1746">
        <v>2025</v>
      </c>
      <c r="B1746">
        <v>5</v>
      </c>
      <c r="C1746" t="s">
        <v>527</v>
      </c>
      <c r="D1746" t="s">
        <v>102</v>
      </c>
      <c r="E1746" t="s">
        <v>227</v>
      </c>
      <c r="F1746" t="s">
        <v>407</v>
      </c>
      <c r="G1746">
        <v>2924</v>
      </c>
    </row>
    <row r="1747" spans="1:7" x14ac:dyDescent="0.35">
      <c r="A1747">
        <v>2025</v>
      </c>
      <c r="B1747">
        <v>5</v>
      </c>
      <c r="C1747" t="s">
        <v>527</v>
      </c>
      <c r="D1747" t="s">
        <v>25</v>
      </c>
      <c r="E1747" t="s">
        <v>274</v>
      </c>
      <c r="F1747" t="s">
        <v>454</v>
      </c>
      <c r="G1747">
        <v>46556</v>
      </c>
    </row>
    <row r="1748" spans="1:7" x14ac:dyDescent="0.35">
      <c r="A1748">
        <v>2025</v>
      </c>
      <c r="B1748">
        <v>5</v>
      </c>
      <c r="C1748" t="s">
        <v>527</v>
      </c>
      <c r="D1748" t="s">
        <v>229</v>
      </c>
      <c r="E1748" t="s">
        <v>230</v>
      </c>
      <c r="F1748" t="s">
        <v>409</v>
      </c>
      <c r="G1748">
        <v>2307695</v>
      </c>
    </row>
    <row r="1749" spans="1:7" x14ac:dyDescent="0.35">
      <c r="A1749">
        <v>2025</v>
      </c>
      <c r="B1749">
        <v>5</v>
      </c>
      <c r="C1749" t="s">
        <v>527</v>
      </c>
      <c r="D1749" t="s">
        <v>13</v>
      </c>
      <c r="E1749" t="s">
        <v>232</v>
      </c>
      <c r="F1749" t="s">
        <v>411</v>
      </c>
      <c r="G1749">
        <v>226</v>
      </c>
    </row>
    <row r="1750" spans="1:7" x14ac:dyDescent="0.35">
      <c r="A1750">
        <v>2025</v>
      </c>
      <c r="B1750">
        <v>5</v>
      </c>
      <c r="C1750" t="s">
        <v>527</v>
      </c>
      <c r="D1750" t="s">
        <v>94</v>
      </c>
      <c r="E1750" t="s">
        <v>233</v>
      </c>
      <c r="F1750" t="s">
        <v>412</v>
      </c>
      <c r="G1750">
        <v>28000</v>
      </c>
    </row>
    <row r="1751" spans="1:7" x14ac:dyDescent="0.35">
      <c r="A1751">
        <v>2025</v>
      </c>
      <c r="B1751">
        <v>5</v>
      </c>
      <c r="C1751" t="s">
        <v>527</v>
      </c>
      <c r="D1751" t="s">
        <v>36</v>
      </c>
      <c r="E1751" t="s">
        <v>275</v>
      </c>
      <c r="F1751" t="s">
        <v>455</v>
      </c>
      <c r="G1751">
        <v>9306</v>
      </c>
    </row>
    <row r="1752" spans="1:7" x14ac:dyDescent="0.35">
      <c r="A1752">
        <v>2025</v>
      </c>
      <c r="B1752">
        <v>5</v>
      </c>
      <c r="C1752" t="s">
        <v>527</v>
      </c>
      <c r="D1752" t="s">
        <v>43</v>
      </c>
      <c r="E1752" t="s">
        <v>234</v>
      </c>
      <c r="F1752" t="s">
        <v>413</v>
      </c>
      <c r="G1752">
        <v>32500</v>
      </c>
    </row>
    <row r="1753" spans="1:7" x14ac:dyDescent="0.35">
      <c r="A1753">
        <v>2025</v>
      </c>
      <c r="B1753">
        <v>5</v>
      </c>
      <c r="C1753" t="s">
        <v>527</v>
      </c>
      <c r="D1753" t="s">
        <v>40</v>
      </c>
      <c r="E1753" t="s">
        <v>235</v>
      </c>
      <c r="F1753" t="s">
        <v>414</v>
      </c>
      <c r="G1753">
        <v>51507</v>
      </c>
    </row>
    <row r="1754" spans="1:7" x14ac:dyDescent="0.35">
      <c r="A1754">
        <v>2025</v>
      </c>
      <c r="B1754">
        <v>5</v>
      </c>
      <c r="C1754" t="s">
        <v>527</v>
      </c>
      <c r="D1754" t="s">
        <v>76</v>
      </c>
      <c r="E1754" t="s">
        <v>236</v>
      </c>
      <c r="F1754" t="s">
        <v>415</v>
      </c>
      <c r="G1754">
        <v>-2346146</v>
      </c>
    </row>
    <row r="1755" spans="1:7" x14ac:dyDescent="0.35">
      <c r="A1755">
        <v>2025</v>
      </c>
      <c r="B1755">
        <v>5</v>
      </c>
      <c r="C1755" t="s">
        <v>527</v>
      </c>
      <c r="D1755" t="s">
        <v>76</v>
      </c>
      <c r="E1755" t="s">
        <v>237</v>
      </c>
      <c r="F1755" t="s">
        <v>416</v>
      </c>
      <c r="G1755">
        <v>2924.23</v>
      </c>
    </row>
    <row r="1756" spans="1:7" x14ac:dyDescent="0.35">
      <c r="A1756">
        <v>2025</v>
      </c>
      <c r="B1756">
        <v>5</v>
      </c>
      <c r="C1756" t="s">
        <v>527</v>
      </c>
      <c r="D1756" t="s">
        <v>76</v>
      </c>
      <c r="E1756" t="s">
        <v>238</v>
      </c>
      <c r="F1756" t="s">
        <v>417</v>
      </c>
      <c r="G1756">
        <v>181159.69</v>
      </c>
    </row>
    <row r="1757" spans="1:7" x14ac:dyDescent="0.35">
      <c r="A1757">
        <v>2025</v>
      </c>
      <c r="B1757">
        <v>5</v>
      </c>
      <c r="C1757" t="s">
        <v>527</v>
      </c>
      <c r="D1757" t="s">
        <v>76</v>
      </c>
      <c r="E1757" t="s">
        <v>239</v>
      </c>
      <c r="F1757" t="s">
        <v>418</v>
      </c>
      <c r="G1757">
        <v>-340626.37</v>
      </c>
    </row>
    <row r="1758" spans="1:7" x14ac:dyDescent="0.35">
      <c r="A1758">
        <v>2025</v>
      </c>
      <c r="B1758">
        <v>5</v>
      </c>
      <c r="C1758" t="s">
        <v>527</v>
      </c>
      <c r="D1758" t="s">
        <v>35</v>
      </c>
      <c r="E1758" t="s">
        <v>240</v>
      </c>
      <c r="F1758" t="s">
        <v>419</v>
      </c>
      <c r="G1758">
        <v>170985</v>
      </c>
    </row>
    <row r="1759" spans="1:7" x14ac:dyDescent="0.35">
      <c r="A1759">
        <v>2025</v>
      </c>
      <c r="B1759">
        <v>5</v>
      </c>
      <c r="C1759" t="s">
        <v>527</v>
      </c>
      <c r="D1759" t="s">
        <v>103</v>
      </c>
      <c r="E1759" t="s">
        <v>242</v>
      </c>
      <c r="F1759" t="s">
        <v>421</v>
      </c>
      <c r="G1759">
        <v>181160</v>
      </c>
    </row>
    <row r="1760" spans="1:7" x14ac:dyDescent="0.35">
      <c r="A1760">
        <v>2025</v>
      </c>
      <c r="B1760">
        <v>5</v>
      </c>
      <c r="C1760" t="s">
        <v>527</v>
      </c>
      <c r="D1760" t="s">
        <v>104</v>
      </c>
      <c r="E1760" t="s">
        <v>243</v>
      </c>
      <c r="F1760" t="s">
        <v>422</v>
      </c>
      <c r="G1760">
        <v>-340626</v>
      </c>
    </row>
    <row r="1761" spans="1:7" x14ac:dyDescent="0.35">
      <c r="A1761">
        <v>2025</v>
      </c>
      <c r="B1761">
        <v>5</v>
      </c>
      <c r="C1761" t="s">
        <v>527</v>
      </c>
      <c r="D1761" t="s">
        <v>244</v>
      </c>
      <c r="E1761" t="s">
        <v>245</v>
      </c>
      <c r="F1761" t="s">
        <v>423</v>
      </c>
      <c r="G1761">
        <v>679074</v>
      </c>
    </row>
    <row r="1762" spans="1:7" x14ac:dyDescent="0.35">
      <c r="A1762">
        <v>2025</v>
      </c>
      <c r="B1762">
        <v>5</v>
      </c>
      <c r="C1762" t="s">
        <v>527</v>
      </c>
      <c r="D1762" t="s">
        <v>14</v>
      </c>
      <c r="E1762" t="s">
        <v>131</v>
      </c>
      <c r="F1762" t="s">
        <v>425</v>
      </c>
      <c r="G1762">
        <v>109656</v>
      </c>
    </row>
    <row r="1763" spans="1:7" x14ac:dyDescent="0.35">
      <c r="A1763">
        <v>2025</v>
      </c>
      <c r="B1763">
        <v>5</v>
      </c>
      <c r="C1763" t="s">
        <v>527</v>
      </c>
      <c r="D1763" t="s">
        <v>30</v>
      </c>
      <c r="E1763" t="s">
        <v>247</v>
      </c>
      <c r="F1763" t="s">
        <v>426</v>
      </c>
      <c r="G1763">
        <v>5922</v>
      </c>
    </row>
    <row r="1764" spans="1:7" x14ac:dyDescent="0.35">
      <c r="A1764">
        <v>2025</v>
      </c>
      <c r="B1764">
        <v>5</v>
      </c>
      <c r="C1764" t="s">
        <v>527</v>
      </c>
      <c r="D1764" t="s">
        <v>15</v>
      </c>
      <c r="E1764" t="s">
        <v>248</v>
      </c>
      <c r="F1764" t="s">
        <v>427</v>
      </c>
      <c r="G1764">
        <v>65044</v>
      </c>
    </row>
    <row r="1765" spans="1:7" x14ac:dyDescent="0.35">
      <c r="A1765">
        <v>2025</v>
      </c>
      <c r="B1765">
        <v>5</v>
      </c>
      <c r="C1765" t="s">
        <v>527</v>
      </c>
      <c r="D1765" t="s">
        <v>84</v>
      </c>
      <c r="E1765" t="s">
        <v>250</v>
      </c>
      <c r="F1765" t="s">
        <v>429</v>
      </c>
      <c r="G1765">
        <v>1800237.87</v>
      </c>
    </row>
    <row r="1766" spans="1:7" x14ac:dyDescent="0.35">
      <c r="A1766">
        <v>2025</v>
      </c>
      <c r="B1766">
        <v>5</v>
      </c>
      <c r="C1766" t="s">
        <v>527</v>
      </c>
      <c r="D1766" t="s">
        <v>81</v>
      </c>
      <c r="E1766" t="s">
        <v>252</v>
      </c>
      <c r="F1766" t="s">
        <v>431</v>
      </c>
      <c r="G1766">
        <v>13924249.01</v>
      </c>
    </row>
    <row r="1767" spans="1:7" x14ac:dyDescent="0.35">
      <c r="A1767">
        <v>2025</v>
      </c>
      <c r="B1767">
        <v>5</v>
      </c>
      <c r="C1767" t="s">
        <v>527</v>
      </c>
      <c r="D1767" t="s">
        <v>44</v>
      </c>
      <c r="E1767" t="s">
        <v>253</v>
      </c>
      <c r="F1767" t="s">
        <v>432</v>
      </c>
      <c r="G1767">
        <v>134400</v>
      </c>
    </row>
    <row r="1768" spans="1:7" x14ac:dyDescent="0.35">
      <c r="A1768">
        <v>2025</v>
      </c>
      <c r="B1768">
        <v>5</v>
      </c>
      <c r="C1768" t="s">
        <v>527</v>
      </c>
      <c r="D1768" t="s">
        <v>16</v>
      </c>
      <c r="E1768" t="s">
        <v>254</v>
      </c>
      <c r="F1768" t="s">
        <v>433</v>
      </c>
      <c r="G1768">
        <v>42812</v>
      </c>
    </row>
    <row r="1769" spans="1:7" x14ac:dyDescent="0.35">
      <c r="A1769">
        <v>2025</v>
      </c>
      <c r="B1769">
        <v>5</v>
      </c>
      <c r="C1769" t="s">
        <v>527</v>
      </c>
      <c r="D1769" t="s">
        <v>34</v>
      </c>
      <c r="E1769" t="s">
        <v>278</v>
      </c>
      <c r="F1769" t="s">
        <v>458</v>
      </c>
      <c r="G1769">
        <v>211481</v>
      </c>
    </row>
    <row r="1770" spans="1:7" x14ac:dyDescent="0.35">
      <c r="A1770">
        <v>2025</v>
      </c>
      <c r="B1770">
        <v>5</v>
      </c>
      <c r="C1770" t="s">
        <v>527</v>
      </c>
      <c r="D1770" t="s">
        <v>17</v>
      </c>
      <c r="E1770" t="s">
        <v>255</v>
      </c>
      <c r="F1770" t="s">
        <v>434</v>
      </c>
      <c r="G1770">
        <v>45494</v>
      </c>
    </row>
    <row r="1771" spans="1:7" x14ac:dyDescent="0.35">
      <c r="A1771">
        <v>2025</v>
      </c>
      <c r="B1771">
        <v>5</v>
      </c>
      <c r="C1771" t="s">
        <v>527</v>
      </c>
      <c r="D1771" t="s">
        <v>37</v>
      </c>
      <c r="E1771" t="s">
        <v>256</v>
      </c>
      <c r="F1771" t="s">
        <v>435</v>
      </c>
      <c r="G1771">
        <v>-52915.89</v>
      </c>
    </row>
    <row r="1772" spans="1:7" x14ac:dyDescent="0.35">
      <c r="A1772">
        <v>2025</v>
      </c>
      <c r="B1772">
        <v>5</v>
      </c>
      <c r="C1772" t="s">
        <v>527</v>
      </c>
      <c r="D1772" t="s">
        <v>37</v>
      </c>
      <c r="E1772" t="s">
        <v>257</v>
      </c>
      <c r="F1772" t="s">
        <v>436</v>
      </c>
      <c r="G1772">
        <v>-4555625.3</v>
      </c>
    </row>
    <row r="1773" spans="1:7" x14ac:dyDescent="0.35">
      <c r="A1773">
        <v>2025</v>
      </c>
      <c r="B1773">
        <v>5</v>
      </c>
      <c r="C1773" t="s">
        <v>527</v>
      </c>
      <c r="D1773" t="s">
        <v>18</v>
      </c>
      <c r="E1773" t="s">
        <v>259</v>
      </c>
      <c r="F1773" t="s">
        <v>438</v>
      </c>
      <c r="G1773">
        <v>1888</v>
      </c>
    </row>
    <row r="1774" spans="1:7" x14ac:dyDescent="0.35">
      <c r="A1774">
        <v>2025</v>
      </c>
      <c r="B1774">
        <v>6</v>
      </c>
      <c r="C1774" t="s">
        <v>530</v>
      </c>
      <c r="E1774" t="s">
        <v>291</v>
      </c>
      <c r="F1774" t="s">
        <v>474</v>
      </c>
      <c r="G1774">
        <v>14093</v>
      </c>
    </row>
    <row r="1775" spans="1:7" x14ac:dyDescent="0.35">
      <c r="A1775">
        <v>2025</v>
      </c>
      <c r="B1775">
        <v>6</v>
      </c>
      <c r="C1775" t="s">
        <v>530</v>
      </c>
      <c r="E1775" t="s">
        <v>528</v>
      </c>
      <c r="F1775" t="s">
        <v>529</v>
      </c>
      <c r="G1775">
        <v>12626</v>
      </c>
    </row>
    <row r="1776" spans="1:7" x14ac:dyDescent="0.35">
      <c r="A1776">
        <v>2025</v>
      </c>
      <c r="B1776">
        <v>6</v>
      </c>
      <c r="C1776" t="s">
        <v>530</v>
      </c>
      <c r="E1776" t="s">
        <v>293</v>
      </c>
      <c r="F1776" t="s">
        <v>477</v>
      </c>
      <c r="G1776">
        <v>1913</v>
      </c>
    </row>
    <row r="1777" spans="1:7" x14ac:dyDescent="0.35">
      <c r="A1777">
        <v>2025</v>
      </c>
      <c r="B1777">
        <v>6</v>
      </c>
      <c r="C1777" t="s">
        <v>530</v>
      </c>
      <c r="E1777" t="s">
        <v>554</v>
      </c>
      <c r="F1777" t="s">
        <v>555</v>
      </c>
      <c r="G1777">
        <v>123</v>
      </c>
    </row>
    <row r="1778" spans="1:7" x14ac:dyDescent="0.35">
      <c r="A1778">
        <v>2025</v>
      </c>
      <c r="B1778">
        <v>6</v>
      </c>
      <c r="C1778" t="s">
        <v>530</v>
      </c>
      <c r="D1778" t="s">
        <v>59</v>
      </c>
      <c r="E1778" t="s">
        <v>133</v>
      </c>
      <c r="F1778" t="s">
        <v>313</v>
      </c>
      <c r="G1778">
        <v>10670</v>
      </c>
    </row>
    <row r="1779" spans="1:7" x14ac:dyDescent="0.35">
      <c r="A1779">
        <v>2025</v>
      </c>
      <c r="B1779">
        <v>6</v>
      </c>
      <c r="C1779" t="s">
        <v>530</v>
      </c>
      <c r="D1779" t="s">
        <v>38</v>
      </c>
      <c r="E1779" t="s">
        <v>122</v>
      </c>
      <c r="F1779" t="s">
        <v>314</v>
      </c>
      <c r="G1779">
        <v>1023</v>
      </c>
    </row>
    <row r="1780" spans="1:7" x14ac:dyDescent="0.35">
      <c r="A1780">
        <v>2025</v>
      </c>
      <c r="B1780">
        <v>6</v>
      </c>
      <c r="C1780" t="s">
        <v>530</v>
      </c>
      <c r="D1780" t="s">
        <v>6</v>
      </c>
      <c r="E1780" t="s">
        <v>135</v>
      </c>
      <c r="F1780" t="s">
        <v>316</v>
      </c>
      <c r="G1780">
        <v>21206</v>
      </c>
    </row>
    <row r="1781" spans="1:7" x14ac:dyDescent="0.35">
      <c r="A1781">
        <v>2025</v>
      </c>
      <c r="B1781">
        <v>6</v>
      </c>
      <c r="C1781" t="s">
        <v>530</v>
      </c>
      <c r="D1781" t="s">
        <v>6</v>
      </c>
      <c r="E1781" t="s">
        <v>136</v>
      </c>
      <c r="F1781" t="s">
        <v>317</v>
      </c>
      <c r="G1781">
        <v>16544</v>
      </c>
    </row>
    <row r="1782" spans="1:7" x14ac:dyDescent="0.35">
      <c r="A1782">
        <v>2025</v>
      </c>
      <c r="B1782">
        <v>6</v>
      </c>
      <c r="C1782" t="s">
        <v>530</v>
      </c>
      <c r="D1782" t="s">
        <v>6</v>
      </c>
      <c r="E1782" t="s">
        <v>137</v>
      </c>
      <c r="F1782" t="s">
        <v>318</v>
      </c>
      <c r="G1782">
        <v>43884</v>
      </c>
    </row>
    <row r="1783" spans="1:7" x14ac:dyDescent="0.35">
      <c r="A1783">
        <v>2025</v>
      </c>
      <c r="B1783">
        <v>6</v>
      </c>
      <c r="C1783" t="s">
        <v>530</v>
      </c>
      <c r="D1783" t="s">
        <v>62</v>
      </c>
      <c r="E1783" t="s">
        <v>139</v>
      </c>
      <c r="F1783" t="s">
        <v>320</v>
      </c>
      <c r="G1783">
        <v>574</v>
      </c>
    </row>
    <row r="1784" spans="1:7" x14ac:dyDescent="0.35">
      <c r="A1784">
        <v>2025</v>
      </c>
      <c r="B1784">
        <v>6</v>
      </c>
      <c r="C1784" t="s">
        <v>530</v>
      </c>
      <c r="D1784" t="s">
        <v>62</v>
      </c>
      <c r="E1784" t="s">
        <v>261</v>
      </c>
      <c r="F1784" t="s">
        <v>441</v>
      </c>
      <c r="G1784">
        <v>440</v>
      </c>
    </row>
    <row r="1785" spans="1:7" x14ac:dyDescent="0.35">
      <c r="A1785">
        <v>2025</v>
      </c>
      <c r="B1785">
        <v>6</v>
      </c>
      <c r="C1785" t="s">
        <v>530</v>
      </c>
      <c r="D1785" t="s">
        <v>31</v>
      </c>
      <c r="E1785" t="s">
        <v>143</v>
      </c>
      <c r="F1785" t="s">
        <v>324</v>
      </c>
      <c r="G1785">
        <v>167010</v>
      </c>
    </row>
    <row r="1786" spans="1:7" x14ac:dyDescent="0.35">
      <c r="A1786">
        <v>2025</v>
      </c>
      <c r="B1786">
        <v>6</v>
      </c>
      <c r="C1786" t="s">
        <v>530</v>
      </c>
      <c r="D1786" t="s">
        <v>91</v>
      </c>
      <c r="E1786" t="s">
        <v>531</v>
      </c>
      <c r="F1786" t="s">
        <v>532</v>
      </c>
      <c r="G1786">
        <v>120088.64</v>
      </c>
    </row>
    <row r="1787" spans="1:7" x14ac:dyDescent="0.35">
      <c r="A1787">
        <v>2025</v>
      </c>
      <c r="B1787">
        <v>6</v>
      </c>
      <c r="C1787" t="s">
        <v>530</v>
      </c>
      <c r="D1787" t="s">
        <v>26</v>
      </c>
      <c r="E1787" t="s">
        <v>144</v>
      </c>
      <c r="F1787" t="s">
        <v>325</v>
      </c>
      <c r="G1787">
        <v>6420</v>
      </c>
    </row>
    <row r="1788" spans="1:7" x14ac:dyDescent="0.35">
      <c r="A1788">
        <v>2025</v>
      </c>
      <c r="B1788">
        <v>6</v>
      </c>
      <c r="C1788" t="s">
        <v>530</v>
      </c>
      <c r="D1788" t="s">
        <v>41</v>
      </c>
      <c r="E1788" t="s">
        <v>145</v>
      </c>
      <c r="F1788" t="s">
        <v>326</v>
      </c>
      <c r="G1788">
        <v>25510</v>
      </c>
    </row>
    <row r="1789" spans="1:7" x14ac:dyDescent="0.35">
      <c r="A1789">
        <v>2025</v>
      </c>
      <c r="B1789">
        <v>6</v>
      </c>
      <c r="C1789" t="s">
        <v>530</v>
      </c>
      <c r="D1789" t="s">
        <v>7</v>
      </c>
      <c r="E1789" t="s">
        <v>147</v>
      </c>
      <c r="F1789" t="s">
        <v>328</v>
      </c>
      <c r="G1789">
        <v>31877</v>
      </c>
    </row>
    <row r="1790" spans="1:7" x14ac:dyDescent="0.35">
      <c r="A1790">
        <v>2025</v>
      </c>
      <c r="B1790">
        <v>6</v>
      </c>
      <c r="C1790" t="s">
        <v>530</v>
      </c>
      <c r="D1790" t="s">
        <v>67</v>
      </c>
      <c r="E1790" t="s">
        <v>148</v>
      </c>
      <c r="F1790" t="s">
        <v>329</v>
      </c>
      <c r="G1790">
        <v>6058</v>
      </c>
    </row>
    <row r="1791" spans="1:7" x14ac:dyDescent="0.35">
      <c r="A1791">
        <v>2025</v>
      </c>
      <c r="B1791">
        <v>6</v>
      </c>
      <c r="C1791" t="s">
        <v>530</v>
      </c>
      <c r="D1791" t="s">
        <v>67</v>
      </c>
      <c r="E1791" t="s">
        <v>149</v>
      </c>
      <c r="F1791" t="s">
        <v>330</v>
      </c>
      <c r="G1791">
        <v>4833</v>
      </c>
    </row>
    <row r="1792" spans="1:7" x14ac:dyDescent="0.35">
      <c r="A1792">
        <v>2025</v>
      </c>
      <c r="B1792">
        <v>6</v>
      </c>
      <c r="C1792" t="s">
        <v>530</v>
      </c>
      <c r="D1792" t="s">
        <v>67</v>
      </c>
      <c r="E1792" t="s">
        <v>150</v>
      </c>
      <c r="F1792" t="s">
        <v>331</v>
      </c>
      <c r="G1792">
        <v>50796</v>
      </c>
    </row>
    <row r="1793" spans="1:7" x14ac:dyDescent="0.35">
      <c r="A1793">
        <v>2025</v>
      </c>
      <c r="B1793">
        <v>6</v>
      </c>
      <c r="C1793" t="s">
        <v>530</v>
      </c>
      <c r="D1793" t="s">
        <v>67</v>
      </c>
      <c r="E1793" t="s">
        <v>151</v>
      </c>
      <c r="F1793" t="s">
        <v>332</v>
      </c>
      <c r="G1793">
        <v>14078</v>
      </c>
    </row>
    <row r="1794" spans="1:7" x14ac:dyDescent="0.35">
      <c r="A1794">
        <v>2025</v>
      </c>
      <c r="B1794">
        <v>6</v>
      </c>
      <c r="C1794" t="s">
        <v>530</v>
      </c>
      <c r="D1794" t="s">
        <v>67</v>
      </c>
      <c r="E1794" t="s">
        <v>152</v>
      </c>
      <c r="F1794" t="s">
        <v>333</v>
      </c>
      <c r="G1794">
        <v>10280</v>
      </c>
    </row>
    <row r="1795" spans="1:7" x14ac:dyDescent="0.35">
      <c r="A1795">
        <v>2025</v>
      </c>
      <c r="B1795">
        <v>6</v>
      </c>
      <c r="C1795" t="s">
        <v>530</v>
      </c>
      <c r="D1795" t="s">
        <v>93</v>
      </c>
      <c r="E1795" t="s">
        <v>153</v>
      </c>
      <c r="F1795" t="s">
        <v>334</v>
      </c>
      <c r="G1795">
        <v>29355.96</v>
      </c>
    </row>
    <row r="1796" spans="1:7" x14ac:dyDescent="0.35">
      <c r="A1796">
        <v>2025</v>
      </c>
      <c r="B1796">
        <v>6</v>
      </c>
      <c r="C1796" t="s">
        <v>530</v>
      </c>
      <c r="D1796" t="s">
        <v>93</v>
      </c>
      <c r="E1796" t="s">
        <v>154</v>
      </c>
      <c r="F1796" t="s">
        <v>335</v>
      </c>
      <c r="G1796">
        <v>19184.73</v>
      </c>
    </row>
    <row r="1797" spans="1:7" x14ac:dyDescent="0.35">
      <c r="A1797">
        <v>2025</v>
      </c>
      <c r="B1797">
        <v>6</v>
      </c>
      <c r="C1797" t="s">
        <v>530</v>
      </c>
      <c r="D1797" t="s">
        <v>89</v>
      </c>
      <c r="E1797" t="s">
        <v>155</v>
      </c>
      <c r="F1797" t="s">
        <v>336</v>
      </c>
      <c r="G1797">
        <v>-105641.06</v>
      </c>
    </row>
    <row r="1798" spans="1:7" x14ac:dyDescent="0.35">
      <c r="A1798">
        <v>2025</v>
      </c>
      <c r="B1798">
        <v>6</v>
      </c>
      <c r="C1798" t="s">
        <v>530</v>
      </c>
      <c r="D1798" t="s">
        <v>89</v>
      </c>
      <c r="E1798" t="s">
        <v>156</v>
      </c>
      <c r="F1798" t="s">
        <v>337</v>
      </c>
      <c r="G1798">
        <v>509646.96</v>
      </c>
    </row>
    <row r="1799" spans="1:7" x14ac:dyDescent="0.35">
      <c r="A1799">
        <v>2025</v>
      </c>
      <c r="B1799">
        <v>6</v>
      </c>
      <c r="C1799" t="s">
        <v>530</v>
      </c>
      <c r="D1799" t="s">
        <v>8</v>
      </c>
      <c r="E1799" t="s">
        <v>157</v>
      </c>
      <c r="F1799" t="s">
        <v>338</v>
      </c>
      <c r="G1799">
        <v>8644</v>
      </c>
    </row>
    <row r="1800" spans="1:7" x14ac:dyDescent="0.35">
      <c r="A1800">
        <v>2025</v>
      </c>
      <c r="B1800">
        <v>6</v>
      </c>
      <c r="C1800" t="s">
        <v>530</v>
      </c>
      <c r="D1800" t="s">
        <v>20</v>
      </c>
      <c r="E1800" t="s">
        <v>158</v>
      </c>
      <c r="F1800" t="s">
        <v>339</v>
      </c>
      <c r="G1800">
        <v>1000359</v>
      </c>
    </row>
    <row r="1801" spans="1:7" x14ac:dyDescent="0.35">
      <c r="A1801">
        <v>2025</v>
      </c>
      <c r="B1801">
        <v>6</v>
      </c>
      <c r="C1801" t="s">
        <v>530</v>
      </c>
      <c r="D1801" t="s">
        <v>21</v>
      </c>
      <c r="E1801" t="s">
        <v>159</v>
      </c>
      <c r="F1801" t="s">
        <v>340</v>
      </c>
      <c r="G1801">
        <v>104480</v>
      </c>
    </row>
    <row r="1802" spans="1:7" x14ac:dyDescent="0.35">
      <c r="A1802">
        <v>2025</v>
      </c>
      <c r="B1802">
        <v>6</v>
      </c>
      <c r="C1802" t="s">
        <v>530</v>
      </c>
      <c r="D1802" t="s">
        <v>160</v>
      </c>
      <c r="E1802" t="s">
        <v>161</v>
      </c>
      <c r="F1802" t="s">
        <v>341</v>
      </c>
      <c r="G1802">
        <v>55100</v>
      </c>
    </row>
    <row r="1803" spans="1:7" x14ac:dyDescent="0.35">
      <c r="A1803">
        <v>2025</v>
      </c>
      <c r="B1803">
        <v>6</v>
      </c>
      <c r="C1803" t="s">
        <v>530</v>
      </c>
      <c r="D1803" t="s">
        <v>32</v>
      </c>
      <c r="E1803" t="s">
        <v>162</v>
      </c>
      <c r="F1803" t="s">
        <v>342</v>
      </c>
      <c r="G1803">
        <v>9600</v>
      </c>
    </row>
    <row r="1804" spans="1:7" x14ac:dyDescent="0.35">
      <c r="A1804">
        <v>2025</v>
      </c>
      <c r="B1804">
        <v>6</v>
      </c>
      <c r="C1804" t="s">
        <v>530</v>
      </c>
      <c r="D1804" t="s">
        <v>22</v>
      </c>
      <c r="E1804" t="s">
        <v>165</v>
      </c>
      <c r="F1804" t="s">
        <v>344</v>
      </c>
      <c r="G1804">
        <v>5541</v>
      </c>
    </row>
    <row r="1805" spans="1:7" x14ac:dyDescent="0.35">
      <c r="A1805">
        <v>2025</v>
      </c>
      <c r="B1805">
        <v>6</v>
      </c>
      <c r="C1805" t="s">
        <v>530</v>
      </c>
      <c r="D1805" t="s">
        <v>27</v>
      </c>
      <c r="E1805" t="s">
        <v>166</v>
      </c>
      <c r="F1805" t="s">
        <v>345</v>
      </c>
      <c r="G1805">
        <v>28000</v>
      </c>
    </row>
    <row r="1806" spans="1:7" x14ac:dyDescent="0.35">
      <c r="A1806">
        <v>2025</v>
      </c>
      <c r="B1806">
        <v>6</v>
      </c>
      <c r="C1806" t="s">
        <v>530</v>
      </c>
      <c r="D1806" t="s">
        <v>167</v>
      </c>
      <c r="E1806" t="s">
        <v>167</v>
      </c>
      <c r="F1806" t="s">
        <v>346</v>
      </c>
      <c r="G1806">
        <v>3572120</v>
      </c>
    </row>
    <row r="1807" spans="1:7" x14ac:dyDescent="0.35">
      <c r="A1807">
        <v>2025</v>
      </c>
      <c r="B1807">
        <v>6</v>
      </c>
      <c r="C1807" t="s">
        <v>530</v>
      </c>
      <c r="D1807" t="s">
        <v>9</v>
      </c>
      <c r="E1807" t="s">
        <v>168</v>
      </c>
      <c r="F1807" t="s">
        <v>347</v>
      </c>
      <c r="G1807">
        <v>14644</v>
      </c>
    </row>
    <row r="1808" spans="1:7" x14ac:dyDescent="0.35">
      <c r="A1808">
        <v>2025</v>
      </c>
      <c r="B1808">
        <v>6</v>
      </c>
      <c r="C1808" t="s">
        <v>530</v>
      </c>
      <c r="D1808" t="s">
        <v>9</v>
      </c>
      <c r="E1808" t="s">
        <v>169</v>
      </c>
      <c r="F1808" t="s">
        <v>348</v>
      </c>
      <c r="G1808">
        <v>12060</v>
      </c>
    </row>
    <row r="1809" spans="1:7" x14ac:dyDescent="0.35">
      <c r="A1809">
        <v>2025</v>
      </c>
      <c r="B1809">
        <v>6</v>
      </c>
      <c r="C1809" t="s">
        <v>530</v>
      </c>
      <c r="D1809" t="s">
        <v>72</v>
      </c>
      <c r="E1809" t="s">
        <v>170</v>
      </c>
      <c r="F1809" t="s">
        <v>349</v>
      </c>
      <c r="G1809">
        <v>128825</v>
      </c>
    </row>
    <row r="1810" spans="1:7" x14ac:dyDescent="0.35">
      <c r="A1810">
        <v>2025</v>
      </c>
      <c r="B1810">
        <v>6</v>
      </c>
      <c r="C1810" t="s">
        <v>530</v>
      </c>
      <c r="D1810" t="s">
        <v>39</v>
      </c>
      <c r="E1810" t="s">
        <v>171</v>
      </c>
      <c r="F1810" t="s">
        <v>350</v>
      </c>
      <c r="G1810">
        <v>20079</v>
      </c>
    </row>
    <row r="1811" spans="1:7" x14ac:dyDescent="0.35">
      <c r="A1811">
        <v>2025</v>
      </c>
      <c r="B1811">
        <v>6</v>
      </c>
      <c r="C1811" t="s">
        <v>530</v>
      </c>
      <c r="D1811" t="s">
        <v>10</v>
      </c>
      <c r="E1811" t="s">
        <v>172</v>
      </c>
      <c r="F1811" t="s">
        <v>351</v>
      </c>
      <c r="G1811">
        <v>33834</v>
      </c>
    </row>
    <row r="1812" spans="1:7" x14ac:dyDescent="0.35">
      <c r="A1812">
        <v>2025</v>
      </c>
      <c r="B1812">
        <v>6</v>
      </c>
      <c r="C1812" t="s">
        <v>530</v>
      </c>
      <c r="D1812" t="s">
        <v>66</v>
      </c>
      <c r="E1812" t="s">
        <v>173</v>
      </c>
      <c r="F1812" t="s">
        <v>352</v>
      </c>
      <c r="G1812">
        <v>420051</v>
      </c>
    </row>
    <row r="1813" spans="1:7" x14ac:dyDescent="0.35">
      <c r="A1813">
        <v>2025</v>
      </c>
      <c r="B1813">
        <v>6</v>
      </c>
      <c r="C1813" t="s">
        <v>530</v>
      </c>
      <c r="D1813" t="s">
        <v>66</v>
      </c>
      <c r="E1813" t="s">
        <v>174</v>
      </c>
      <c r="F1813" t="s">
        <v>353</v>
      </c>
      <c r="G1813">
        <v>71717</v>
      </c>
    </row>
    <row r="1814" spans="1:7" x14ac:dyDescent="0.35">
      <c r="A1814">
        <v>2025</v>
      </c>
      <c r="B1814">
        <v>6</v>
      </c>
      <c r="C1814" t="s">
        <v>530</v>
      </c>
      <c r="D1814" t="s">
        <v>66</v>
      </c>
      <c r="E1814" t="s">
        <v>175</v>
      </c>
      <c r="F1814" t="s">
        <v>354</v>
      </c>
      <c r="G1814">
        <v>483</v>
      </c>
    </row>
    <row r="1815" spans="1:7" x14ac:dyDescent="0.35">
      <c r="A1815">
        <v>2025</v>
      </c>
      <c r="B1815">
        <v>6</v>
      </c>
      <c r="C1815" t="s">
        <v>530</v>
      </c>
      <c r="D1815" t="s">
        <v>66</v>
      </c>
      <c r="E1815" t="s">
        <v>176</v>
      </c>
      <c r="F1815" t="s">
        <v>355</v>
      </c>
      <c r="G1815">
        <v>43555</v>
      </c>
    </row>
    <row r="1816" spans="1:7" x14ac:dyDescent="0.35">
      <c r="A1816">
        <v>2025</v>
      </c>
      <c r="B1816">
        <v>6</v>
      </c>
      <c r="C1816" t="s">
        <v>530</v>
      </c>
      <c r="D1816" t="s">
        <v>66</v>
      </c>
      <c r="E1816" t="s">
        <v>177</v>
      </c>
      <c r="F1816" t="s">
        <v>356</v>
      </c>
      <c r="G1816">
        <v>40239</v>
      </c>
    </row>
    <row r="1817" spans="1:7" x14ac:dyDescent="0.35">
      <c r="A1817">
        <v>2025</v>
      </c>
      <c r="B1817">
        <v>6</v>
      </c>
      <c r="C1817" t="s">
        <v>530</v>
      </c>
      <c r="D1817" t="s">
        <v>11</v>
      </c>
      <c r="E1817" t="s">
        <v>179</v>
      </c>
      <c r="F1817" t="s">
        <v>180</v>
      </c>
      <c r="G1817">
        <v>3203</v>
      </c>
    </row>
    <row r="1818" spans="1:7" x14ac:dyDescent="0.35">
      <c r="A1818">
        <v>2025</v>
      </c>
      <c r="B1818">
        <v>6</v>
      </c>
      <c r="C1818" t="s">
        <v>530</v>
      </c>
      <c r="D1818" t="s">
        <v>74</v>
      </c>
      <c r="E1818" t="s">
        <v>205</v>
      </c>
      <c r="F1818" t="s">
        <v>384</v>
      </c>
      <c r="G1818">
        <v>165</v>
      </c>
    </row>
    <row r="1819" spans="1:7" x14ac:dyDescent="0.35">
      <c r="A1819">
        <v>2025</v>
      </c>
      <c r="B1819">
        <v>6</v>
      </c>
      <c r="C1819" t="s">
        <v>530</v>
      </c>
      <c r="D1819" t="s">
        <v>74</v>
      </c>
      <c r="E1819" t="s">
        <v>282</v>
      </c>
      <c r="F1819" t="s">
        <v>462</v>
      </c>
      <c r="G1819">
        <v>5108</v>
      </c>
    </row>
    <row r="1820" spans="1:7" x14ac:dyDescent="0.35">
      <c r="A1820">
        <v>2025</v>
      </c>
      <c r="B1820">
        <v>6</v>
      </c>
      <c r="C1820" t="s">
        <v>530</v>
      </c>
      <c r="D1820" t="s">
        <v>74</v>
      </c>
      <c r="E1820" t="s">
        <v>185</v>
      </c>
      <c r="F1820" t="s">
        <v>362</v>
      </c>
      <c r="G1820">
        <v>7448</v>
      </c>
    </row>
    <row r="1821" spans="1:7" x14ac:dyDescent="0.35">
      <c r="A1821">
        <v>2025</v>
      </c>
      <c r="B1821">
        <v>6</v>
      </c>
      <c r="C1821" t="s">
        <v>530</v>
      </c>
      <c r="D1821" t="s">
        <v>74</v>
      </c>
      <c r="E1821" t="s">
        <v>186</v>
      </c>
      <c r="F1821" t="s">
        <v>364</v>
      </c>
      <c r="G1821">
        <v>19855</v>
      </c>
    </row>
    <row r="1822" spans="1:7" x14ac:dyDescent="0.35">
      <c r="A1822">
        <v>2025</v>
      </c>
      <c r="B1822">
        <v>6</v>
      </c>
      <c r="C1822" t="s">
        <v>530</v>
      </c>
      <c r="D1822" t="s">
        <v>74</v>
      </c>
      <c r="E1822" t="s">
        <v>270</v>
      </c>
      <c r="F1822" t="s">
        <v>450</v>
      </c>
      <c r="G1822">
        <v>260</v>
      </c>
    </row>
    <row r="1823" spans="1:7" x14ac:dyDescent="0.35">
      <c r="A1823">
        <v>2025</v>
      </c>
      <c r="B1823">
        <v>6</v>
      </c>
      <c r="C1823" t="s">
        <v>530</v>
      </c>
      <c r="D1823" t="s">
        <v>74</v>
      </c>
      <c r="E1823" t="s">
        <v>283</v>
      </c>
      <c r="F1823" t="s">
        <v>463</v>
      </c>
      <c r="G1823">
        <v>307</v>
      </c>
    </row>
    <row r="1824" spans="1:7" x14ac:dyDescent="0.35">
      <c r="A1824">
        <v>2025</v>
      </c>
      <c r="B1824">
        <v>6</v>
      </c>
      <c r="C1824" t="s">
        <v>530</v>
      </c>
      <c r="D1824" t="s">
        <v>85</v>
      </c>
      <c r="E1824" t="s">
        <v>188</v>
      </c>
      <c r="F1824" t="s">
        <v>366</v>
      </c>
      <c r="G1824">
        <v>581668.28</v>
      </c>
    </row>
    <row r="1825" spans="1:7" x14ac:dyDescent="0.35">
      <c r="A1825">
        <v>2025</v>
      </c>
      <c r="B1825">
        <v>6</v>
      </c>
      <c r="C1825" t="s">
        <v>530</v>
      </c>
      <c r="D1825" t="s">
        <v>106</v>
      </c>
      <c r="E1825" t="s">
        <v>189</v>
      </c>
      <c r="F1825" t="s">
        <v>367</v>
      </c>
      <c r="G1825">
        <v>3565939</v>
      </c>
    </row>
    <row r="1826" spans="1:7" x14ac:dyDescent="0.35">
      <c r="A1826">
        <v>2025</v>
      </c>
      <c r="B1826">
        <v>6</v>
      </c>
      <c r="C1826" t="s">
        <v>530</v>
      </c>
      <c r="D1826" t="s">
        <v>106</v>
      </c>
      <c r="E1826" t="s">
        <v>190</v>
      </c>
      <c r="F1826" t="s">
        <v>368</v>
      </c>
      <c r="G1826">
        <v>139540</v>
      </c>
    </row>
    <row r="1827" spans="1:7" x14ac:dyDescent="0.35">
      <c r="A1827">
        <v>2025</v>
      </c>
      <c r="B1827">
        <v>6</v>
      </c>
      <c r="C1827" t="s">
        <v>530</v>
      </c>
      <c r="D1827" t="s">
        <v>106</v>
      </c>
      <c r="E1827" t="s">
        <v>191</v>
      </c>
      <c r="F1827" t="s">
        <v>369</v>
      </c>
      <c r="G1827">
        <v>883868</v>
      </c>
    </row>
    <row r="1828" spans="1:7" x14ac:dyDescent="0.35">
      <c r="A1828">
        <v>2025</v>
      </c>
      <c r="B1828">
        <v>6</v>
      </c>
      <c r="C1828" t="s">
        <v>530</v>
      </c>
      <c r="D1828" t="s">
        <v>106</v>
      </c>
      <c r="E1828" t="s">
        <v>192</v>
      </c>
      <c r="F1828" t="s">
        <v>370</v>
      </c>
      <c r="G1828">
        <v>320810</v>
      </c>
    </row>
    <row r="1829" spans="1:7" x14ac:dyDescent="0.35">
      <c r="A1829">
        <v>2025</v>
      </c>
      <c r="B1829">
        <v>6</v>
      </c>
      <c r="C1829" t="s">
        <v>530</v>
      </c>
      <c r="D1829" t="s">
        <v>106</v>
      </c>
      <c r="E1829" t="s">
        <v>284</v>
      </c>
      <c r="F1829" t="s">
        <v>464</v>
      </c>
      <c r="G1829">
        <v>84256</v>
      </c>
    </row>
    <row r="1830" spans="1:7" x14ac:dyDescent="0.35">
      <c r="A1830">
        <v>2025</v>
      </c>
      <c r="B1830">
        <v>6</v>
      </c>
      <c r="C1830" t="s">
        <v>530</v>
      </c>
      <c r="D1830" t="s">
        <v>106</v>
      </c>
      <c r="E1830" t="s">
        <v>193</v>
      </c>
      <c r="F1830" t="s">
        <v>371</v>
      </c>
      <c r="G1830">
        <v>32098</v>
      </c>
    </row>
    <row r="1831" spans="1:7" x14ac:dyDescent="0.35">
      <c r="A1831">
        <v>2025</v>
      </c>
      <c r="B1831">
        <v>6</v>
      </c>
      <c r="C1831" t="s">
        <v>530</v>
      </c>
      <c r="D1831" t="s">
        <v>106</v>
      </c>
      <c r="E1831" t="s">
        <v>194</v>
      </c>
      <c r="F1831" t="s">
        <v>372</v>
      </c>
      <c r="G1831">
        <v>3971</v>
      </c>
    </row>
    <row r="1832" spans="1:7" x14ac:dyDescent="0.35">
      <c r="A1832">
        <v>2025</v>
      </c>
      <c r="B1832">
        <v>6</v>
      </c>
      <c r="C1832" t="s">
        <v>530</v>
      </c>
      <c r="D1832" t="s">
        <v>106</v>
      </c>
      <c r="E1832" t="s">
        <v>195</v>
      </c>
      <c r="F1832" t="s">
        <v>373</v>
      </c>
      <c r="G1832">
        <v>113617</v>
      </c>
    </row>
    <row r="1833" spans="1:7" x14ac:dyDescent="0.35">
      <c r="A1833">
        <v>2025</v>
      </c>
      <c r="B1833">
        <v>6</v>
      </c>
      <c r="C1833" t="s">
        <v>530</v>
      </c>
      <c r="D1833" t="s">
        <v>490</v>
      </c>
      <c r="E1833" t="s">
        <v>490</v>
      </c>
      <c r="F1833" t="s">
        <v>491</v>
      </c>
      <c r="G1833">
        <v>996</v>
      </c>
    </row>
    <row r="1834" spans="1:7" x14ac:dyDescent="0.35">
      <c r="A1834">
        <v>2025</v>
      </c>
      <c r="B1834">
        <v>6</v>
      </c>
      <c r="C1834" t="s">
        <v>530</v>
      </c>
      <c r="D1834" t="s">
        <v>75</v>
      </c>
      <c r="E1834" t="s">
        <v>204</v>
      </c>
      <c r="F1834" t="s">
        <v>383</v>
      </c>
      <c r="G1834">
        <v>5703</v>
      </c>
    </row>
    <row r="1835" spans="1:7" x14ac:dyDescent="0.35">
      <c r="A1835">
        <v>2025</v>
      </c>
      <c r="B1835">
        <v>6</v>
      </c>
      <c r="C1835" t="s">
        <v>530</v>
      </c>
      <c r="D1835" t="s">
        <v>23</v>
      </c>
      <c r="E1835" t="s">
        <v>206</v>
      </c>
      <c r="F1835" t="s">
        <v>385</v>
      </c>
      <c r="G1835">
        <v>45450</v>
      </c>
    </row>
    <row r="1836" spans="1:7" x14ac:dyDescent="0.35">
      <c r="A1836">
        <v>2025</v>
      </c>
      <c r="B1836">
        <v>6</v>
      </c>
      <c r="C1836" t="s">
        <v>530</v>
      </c>
      <c r="D1836" t="s">
        <v>24</v>
      </c>
      <c r="E1836" t="s">
        <v>207</v>
      </c>
      <c r="F1836" t="s">
        <v>386</v>
      </c>
      <c r="G1836">
        <v>51463</v>
      </c>
    </row>
    <row r="1837" spans="1:7" x14ac:dyDescent="0.35">
      <c r="A1837">
        <v>2025</v>
      </c>
      <c r="B1837">
        <v>6</v>
      </c>
      <c r="C1837" t="s">
        <v>530</v>
      </c>
      <c r="D1837" t="s">
        <v>114</v>
      </c>
      <c r="E1837" t="s">
        <v>295</v>
      </c>
      <c r="F1837" t="s">
        <v>479</v>
      </c>
      <c r="G1837">
        <v>5601</v>
      </c>
    </row>
    <row r="1838" spans="1:7" x14ac:dyDescent="0.35">
      <c r="A1838">
        <v>2025</v>
      </c>
      <c r="B1838">
        <v>6</v>
      </c>
      <c r="C1838" t="s">
        <v>530</v>
      </c>
      <c r="D1838" t="s">
        <v>519</v>
      </c>
      <c r="E1838" t="s">
        <v>203</v>
      </c>
      <c r="F1838" t="s">
        <v>381</v>
      </c>
      <c r="G1838">
        <v>7916</v>
      </c>
    </row>
    <row r="1839" spans="1:7" x14ac:dyDescent="0.35">
      <c r="A1839">
        <v>2025</v>
      </c>
      <c r="B1839">
        <v>6</v>
      </c>
      <c r="C1839" t="s">
        <v>530</v>
      </c>
      <c r="D1839" t="s">
        <v>519</v>
      </c>
      <c r="E1839" t="s">
        <v>196</v>
      </c>
      <c r="F1839" t="s">
        <v>382</v>
      </c>
      <c r="G1839">
        <v>4.8899999999999997</v>
      </c>
    </row>
    <row r="1840" spans="1:7" x14ac:dyDescent="0.35">
      <c r="A1840">
        <v>2025</v>
      </c>
      <c r="B1840">
        <v>6</v>
      </c>
      <c r="C1840" t="s">
        <v>530</v>
      </c>
      <c r="D1840" t="s">
        <v>520</v>
      </c>
      <c r="E1840" t="s">
        <v>208</v>
      </c>
      <c r="F1840" t="s">
        <v>387</v>
      </c>
      <c r="G1840">
        <v>403</v>
      </c>
    </row>
    <row r="1841" spans="1:7" x14ac:dyDescent="0.35">
      <c r="A1841">
        <v>2025</v>
      </c>
      <c r="B1841">
        <v>6</v>
      </c>
      <c r="C1841" t="s">
        <v>530</v>
      </c>
      <c r="D1841" t="s">
        <v>520</v>
      </c>
      <c r="E1841" t="s">
        <v>134</v>
      </c>
      <c r="F1841" t="s">
        <v>315</v>
      </c>
      <c r="G1841">
        <v>6632</v>
      </c>
    </row>
    <row r="1842" spans="1:7" x14ac:dyDescent="0.35">
      <c r="A1842">
        <v>2025</v>
      </c>
      <c r="B1842">
        <v>6</v>
      </c>
      <c r="C1842" t="s">
        <v>530</v>
      </c>
      <c r="D1842" t="s">
        <v>520</v>
      </c>
      <c r="E1842" t="s">
        <v>196</v>
      </c>
      <c r="F1842" t="s">
        <v>374</v>
      </c>
      <c r="G1842">
        <v>9</v>
      </c>
    </row>
    <row r="1843" spans="1:7" x14ac:dyDescent="0.35">
      <c r="A1843">
        <v>2025</v>
      </c>
      <c r="B1843">
        <v>6</v>
      </c>
      <c r="C1843" t="s">
        <v>530</v>
      </c>
      <c r="D1843" t="s">
        <v>520</v>
      </c>
      <c r="E1843" t="s">
        <v>197</v>
      </c>
      <c r="F1843" t="s">
        <v>375</v>
      </c>
      <c r="G1843">
        <v>44685</v>
      </c>
    </row>
    <row r="1844" spans="1:7" x14ac:dyDescent="0.35">
      <c r="A1844">
        <v>2025</v>
      </c>
      <c r="B1844">
        <v>6</v>
      </c>
      <c r="C1844" t="s">
        <v>530</v>
      </c>
      <c r="D1844" t="s">
        <v>520</v>
      </c>
      <c r="E1844" t="s">
        <v>198</v>
      </c>
      <c r="F1844" t="s">
        <v>376</v>
      </c>
      <c r="G1844">
        <v>1718</v>
      </c>
    </row>
    <row r="1845" spans="1:7" x14ac:dyDescent="0.35">
      <c r="A1845">
        <v>2025</v>
      </c>
      <c r="B1845">
        <v>6</v>
      </c>
      <c r="C1845" t="s">
        <v>530</v>
      </c>
      <c r="D1845" t="s">
        <v>520</v>
      </c>
      <c r="E1845" t="s">
        <v>200</v>
      </c>
      <c r="F1845" t="s">
        <v>378</v>
      </c>
      <c r="G1845">
        <v>2951</v>
      </c>
    </row>
    <row r="1846" spans="1:7" x14ac:dyDescent="0.35">
      <c r="A1846">
        <v>2025</v>
      </c>
      <c r="B1846">
        <v>6</v>
      </c>
      <c r="C1846" t="s">
        <v>530</v>
      </c>
      <c r="D1846" t="s">
        <v>520</v>
      </c>
      <c r="E1846" t="s">
        <v>201</v>
      </c>
      <c r="F1846" t="s">
        <v>379</v>
      </c>
      <c r="G1846">
        <v>37817</v>
      </c>
    </row>
    <row r="1847" spans="1:7" x14ac:dyDescent="0.35">
      <c r="A1847">
        <v>2025</v>
      </c>
      <c r="B1847">
        <v>6</v>
      </c>
      <c r="C1847" t="s">
        <v>530</v>
      </c>
      <c r="D1847" t="s">
        <v>33</v>
      </c>
      <c r="E1847" t="s">
        <v>209</v>
      </c>
      <c r="F1847" t="s">
        <v>388</v>
      </c>
      <c r="G1847">
        <v>1710</v>
      </c>
    </row>
    <row r="1848" spans="1:7" x14ac:dyDescent="0.35">
      <c r="A1848">
        <v>2025</v>
      </c>
      <c r="B1848">
        <v>6</v>
      </c>
      <c r="C1848" t="s">
        <v>530</v>
      </c>
      <c r="D1848" t="s">
        <v>12</v>
      </c>
      <c r="E1848" t="s">
        <v>210</v>
      </c>
      <c r="F1848" t="s">
        <v>389</v>
      </c>
      <c r="G1848">
        <v>3218</v>
      </c>
    </row>
    <row r="1849" spans="1:7" x14ac:dyDescent="0.35">
      <c r="A1849">
        <v>2025</v>
      </c>
      <c r="B1849">
        <v>6</v>
      </c>
      <c r="C1849" t="s">
        <v>530</v>
      </c>
      <c r="D1849" t="s">
        <v>12</v>
      </c>
      <c r="E1849" t="s">
        <v>211</v>
      </c>
      <c r="F1849" t="s">
        <v>390</v>
      </c>
      <c r="G1849">
        <v>798</v>
      </c>
    </row>
    <row r="1850" spans="1:7" x14ac:dyDescent="0.35">
      <c r="A1850">
        <v>2025</v>
      </c>
      <c r="B1850">
        <v>6</v>
      </c>
      <c r="C1850" t="s">
        <v>530</v>
      </c>
      <c r="D1850" t="s">
        <v>12</v>
      </c>
      <c r="E1850" t="s">
        <v>212</v>
      </c>
      <c r="F1850" t="s">
        <v>391</v>
      </c>
      <c r="G1850">
        <v>4052</v>
      </c>
    </row>
    <row r="1851" spans="1:7" x14ac:dyDescent="0.35">
      <c r="A1851">
        <v>2025</v>
      </c>
      <c r="B1851">
        <v>6</v>
      </c>
      <c r="C1851" t="s">
        <v>530</v>
      </c>
      <c r="D1851" t="s">
        <v>12</v>
      </c>
      <c r="E1851" t="s">
        <v>273</v>
      </c>
      <c r="F1851" t="s">
        <v>453</v>
      </c>
      <c r="G1851">
        <v>3866</v>
      </c>
    </row>
    <row r="1852" spans="1:7" x14ac:dyDescent="0.35">
      <c r="A1852">
        <v>2025</v>
      </c>
      <c r="B1852">
        <v>6</v>
      </c>
      <c r="C1852" t="s">
        <v>530</v>
      </c>
      <c r="D1852" t="s">
        <v>12</v>
      </c>
      <c r="E1852" t="s">
        <v>213</v>
      </c>
      <c r="F1852" t="s">
        <v>392</v>
      </c>
      <c r="G1852">
        <v>9747</v>
      </c>
    </row>
    <row r="1853" spans="1:7" x14ac:dyDescent="0.35">
      <c r="A1853">
        <v>2025</v>
      </c>
      <c r="B1853">
        <v>6</v>
      </c>
      <c r="C1853" t="s">
        <v>530</v>
      </c>
      <c r="D1853" t="s">
        <v>12</v>
      </c>
      <c r="E1853" t="s">
        <v>214</v>
      </c>
      <c r="F1853" t="s">
        <v>394</v>
      </c>
      <c r="G1853">
        <v>4472</v>
      </c>
    </row>
    <row r="1854" spans="1:7" x14ac:dyDescent="0.35">
      <c r="A1854">
        <v>2025</v>
      </c>
      <c r="B1854">
        <v>6</v>
      </c>
      <c r="C1854" t="s">
        <v>530</v>
      </c>
      <c r="D1854" t="s">
        <v>12</v>
      </c>
      <c r="E1854" t="s">
        <v>215</v>
      </c>
      <c r="F1854" t="s">
        <v>395</v>
      </c>
      <c r="G1854">
        <v>2162</v>
      </c>
    </row>
    <row r="1855" spans="1:7" x14ac:dyDescent="0.35">
      <c r="A1855">
        <v>2025</v>
      </c>
      <c r="B1855">
        <v>6</v>
      </c>
      <c r="C1855" t="s">
        <v>530</v>
      </c>
      <c r="D1855" t="s">
        <v>12</v>
      </c>
      <c r="E1855" t="s">
        <v>217</v>
      </c>
      <c r="F1855" t="s">
        <v>397</v>
      </c>
      <c r="G1855">
        <v>1269</v>
      </c>
    </row>
    <row r="1856" spans="1:7" x14ac:dyDescent="0.35">
      <c r="A1856">
        <v>2025</v>
      </c>
      <c r="B1856">
        <v>6</v>
      </c>
      <c r="C1856" t="s">
        <v>530</v>
      </c>
      <c r="D1856" t="s">
        <v>12</v>
      </c>
      <c r="E1856" t="s">
        <v>218</v>
      </c>
      <c r="F1856" t="s">
        <v>398</v>
      </c>
      <c r="G1856">
        <v>5026</v>
      </c>
    </row>
    <row r="1857" spans="1:7" x14ac:dyDescent="0.35">
      <c r="A1857">
        <v>2025</v>
      </c>
      <c r="B1857">
        <v>6</v>
      </c>
      <c r="C1857" t="s">
        <v>530</v>
      </c>
      <c r="D1857" t="s">
        <v>12</v>
      </c>
      <c r="E1857" t="s">
        <v>219</v>
      </c>
      <c r="F1857" t="s">
        <v>399</v>
      </c>
      <c r="G1857">
        <v>4322</v>
      </c>
    </row>
    <row r="1858" spans="1:7" x14ac:dyDescent="0.35">
      <c r="A1858">
        <v>2025</v>
      </c>
      <c r="B1858">
        <v>6</v>
      </c>
      <c r="C1858" t="s">
        <v>530</v>
      </c>
      <c r="D1858" t="s">
        <v>12</v>
      </c>
      <c r="E1858" t="s">
        <v>220</v>
      </c>
      <c r="F1858" t="s">
        <v>400</v>
      </c>
      <c r="G1858">
        <v>5283</v>
      </c>
    </row>
    <row r="1859" spans="1:7" x14ac:dyDescent="0.35">
      <c r="A1859">
        <v>2025</v>
      </c>
      <c r="B1859">
        <v>6</v>
      </c>
      <c r="C1859" t="s">
        <v>530</v>
      </c>
      <c r="D1859" t="s">
        <v>12</v>
      </c>
      <c r="E1859" t="s">
        <v>221</v>
      </c>
      <c r="F1859" t="s">
        <v>401</v>
      </c>
      <c r="G1859">
        <v>4031</v>
      </c>
    </row>
    <row r="1860" spans="1:7" x14ac:dyDescent="0.35">
      <c r="A1860">
        <v>2025</v>
      </c>
      <c r="B1860">
        <v>6</v>
      </c>
      <c r="C1860" t="s">
        <v>530</v>
      </c>
      <c r="D1860" t="s">
        <v>12</v>
      </c>
      <c r="E1860" t="s">
        <v>222</v>
      </c>
      <c r="F1860" t="s">
        <v>402</v>
      </c>
      <c r="G1860">
        <v>6693</v>
      </c>
    </row>
    <row r="1861" spans="1:7" x14ac:dyDescent="0.35">
      <c r="A1861">
        <v>2025</v>
      </c>
      <c r="B1861">
        <v>6</v>
      </c>
      <c r="C1861" t="s">
        <v>530</v>
      </c>
      <c r="D1861" t="s">
        <v>28</v>
      </c>
      <c r="E1861" t="s">
        <v>223</v>
      </c>
      <c r="F1861" t="s">
        <v>403</v>
      </c>
      <c r="G1861">
        <v>1983</v>
      </c>
    </row>
    <row r="1862" spans="1:7" x14ac:dyDescent="0.35">
      <c r="A1862">
        <v>2025</v>
      </c>
      <c r="B1862">
        <v>6</v>
      </c>
      <c r="C1862" t="s">
        <v>530</v>
      </c>
      <c r="D1862" t="s">
        <v>28</v>
      </c>
      <c r="E1862" t="s">
        <v>224</v>
      </c>
      <c r="F1862" t="s">
        <v>404</v>
      </c>
      <c r="G1862">
        <v>43275</v>
      </c>
    </row>
    <row r="1863" spans="1:7" x14ac:dyDescent="0.35">
      <c r="A1863">
        <v>2025</v>
      </c>
      <c r="B1863">
        <v>6</v>
      </c>
      <c r="C1863" t="s">
        <v>530</v>
      </c>
      <c r="D1863" t="s">
        <v>64</v>
      </c>
      <c r="E1863" t="s">
        <v>225</v>
      </c>
      <c r="F1863" t="s">
        <v>405</v>
      </c>
      <c r="G1863">
        <v>29006</v>
      </c>
    </row>
    <row r="1864" spans="1:7" x14ac:dyDescent="0.35">
      <c r="A1864">
        <v>2025</v>
      </c>
      <c r="B1864">
        <v>6</v>
      </c>
      <c r="C1864" t="s">
        <v>530</v>
      </c>
      <c r="D1864" t="s">
        <v>29</v>
      </c>
      <c r="E1864" t="s">
        <v>226</v>
      </c>
      <c r="F1864" t="s">
        <v>406</v>
      </c>
      <c r="G1864">
        <v>573</v>
      </c>
    </row>
    <row r="1865" spans="1:7" x14ac:dyDescent="0.35">
      <c r="A1865">
        <v>2025</v>
      </c>
      <c r="B1865">
        <v>6</v>
      </c>
      <c r="C1865" t="s">
        <v>530</v>
      </c>
      <c r="D1865" t="s">
        <v>102</v>
      </c>
      <c r="E1865" t="s">
        <v>227</v>
      </c>
      <c r="F1865" t="s">
        <v>407</v>
      </c>
      <c r="G1865">
        <v>-71098</v>
      </c>
    </row>
    <row r="1866" spans="1:7" x14ac:dyDescent="0.35">
      <c r="A1866">
        <v>2025</v>
      </c>
      <c r="B1866">
        <v>6</v>
      </c>
      <c r="C1866" t="s">
        <v>530</v>
      </c>
      <c r="D1866" t="s">
        <v>25</v>
      </c>
      <c r="E1866" t="s">
        <v>228</v>
      </c>
      <c r="F1866" t="s">
        <v>408</v>
      </c>
      <c r="G1866">
        <v>124</v>
      </c>
    </row>
    <row r="1867" spans="1:7" x14ac:dyDescent="0.35">
      <c r="A1867">
        <v>2025</v>
      </c>
      <c r="B1867">
        <v>6</v>
      </c>
      <c r="C1867" t="s">
        <v>530</v>
      </c>
      <c r="D1867" t="s">
        <v>229</v>
      </c>
      <c r="E1867" t="s">
        <v>230</v>
      </c>
      <c r="F1867" t="s">
        <v>409</v>
      </c>
      <c r="G1867">
        <v>-993904</v>
      </c>
    </row>
    <row r="1868" spans="1:7" x14ac:dyDescent="0.35">
      <c r="A1868">
        <v>2025</v>
      </c>
      <c r="B1868">
        <v>6</v>
      </c>
      <c r="C1868" t="s">
        <v>530</v>
      </c>
      <c r="D1868" t="s">
        <v>13</v>
      </c>
      <c r="E1868" t="s">
        <v>232</v>
      </c>
      <c r="F1868" t="s">
        <v>411</v>
      </c>
      <c r="G1868">
        <v>3471</v>
      </c>
    </row>
    <row r="1869" spans="1:7" x14ac:dyDescent="0.35">
      <c r="A1869">
        <v>2025</v>
      </c>
      <c r="B1869">
        <v>6</v>
      </c>
      <c r="C1869" t="s">
        <v>530</v>
      </c>
      <c r="D1869" t="s">
        <v>94</v>
      </c>
      <c r="E1869" t="s">
        <v>233</v>
      </c>
      <c r="F1869" t="s">
        <v>412</v>
      </c>
      <c r="G1869">
        <v>46098</v>
      </c>
    </row>
    <row r="1870" spans="1:7" x14ac:dyDescent="0.35">
      <c r="A1870">
        <v>2025</v>
      </c>
      <c r="B1870">
        <v>6</v>
      </c>
      <c r="C1870" t="s">
        <v>530</v>
      </c>
      <c r="D1870" t="s">
        <v>36</v>
      </c>
      <c r="E1870" t="s">
        <v>275</v>
      </c>
      <c r="F1870" t="s">
        <v>455</v>
      </c>
      <c r="G1870">
        <v>9335</v>
      </c>
    </row>
    <row r="1871" spans="1:7" x14ac:dyDescent="0.35">
      <c r="A1871">
        <v>2025</v>
      </c>
      <c r="B1871">
        <v>6</v>
      </c>
      <c r="C1871" t="s">
        <v>530</v>
      </c>
      <c r="D1871" t="s">
        <v>40</v>
      </c>
      <c r="E1871" t="s">
        <v>235</v>
      </c>
      <c r="F1871" t="s">
        <v>414</v>
      </c>
      <c r="G1871">
        <v>2465</v>
      </c>
    </row>
    <row r="1872" spans="1:7" x14ac:dyDescent="0.35">
      <c r="A1872">
        <v>2025</v>
      </c>
      <c r="B1872">
        <v>6</v>
      </c>
      <c r="C1872" t="s">
        <v>530</v>
      </c>
      <c r="D1872" t="s">
        <v>45</v>
      </c>
      <c r="E1872" t="s">
        <v>276</v>
      </c>
      <c r="F1872" t="s">
        <v>456</v>
      </c>
      <c r="G1872">
        <v>75885</v>
      </c>
    </row>
    <row r="1873" spans="1:7" x14ac:dyDescent="0.35">
      <c r="A1873">
        <v>2025</v>
      </c>
      <c r="B1873">
        <v>6</v>
      </c>
      <c r="C1873" t="s">
        <v>530</v>
      </c>
      <c r="D1873" t="s">
        <v>76</v>
      </c>
      <c r="E1873" t="s">
        <v>236</v>
      </c>
      <c r="F1873" t="s">
        <v>415</v>
      </c>
      <c r="G1873">
        <v>3572120</v>
      </c>
    </row>
    <row r="1874" spans="1:7" x14ac:dyDescent="0.35">
      <c r="A1874">
        <v>2025</v>
      </c>
      <c r="B1874">
        <v>6</v>
      </c>
      <c r="C1874" t="s">
        <v>530</v>
      </c>
      <c r="D1874" t="s">
        <v>76</v>
      </c>
      <c r="E1874" t="s">
        <v>237</v>
      </c>
      <c r="F1874" t="s">
        <v>416</v>
      </c>
      <c r="G1874">
        <v>-71097.62</v>
      </c>
    </row>
    <row r="1875" spans="1:7" x14ac:dyDescent="0.35">
      <c r="A1875">
        <v>2025</v>
      </c>
      <c r="B1875">
        <v>6</v>
      </c>
      <c r="C1875" t="s">
        <v>530</v>
      </c>
      <c r="D1875" t="s">
        <v>76</v>
      </c>
      <c r="E1875" t="s">
        <v>238</v>
      </c>
      <c r="F1875" t="s">
        <v>417</v>
      </c>
      <c r="G1875">
        <v>269622.73</v>
      </c>
    </row>
    <row r="1876" spans="1:7" x14ac:dyDescent="0.35">
      <c r="A1876">
        <v>2025</v>
      </c>
      <c r="B1876">
        <v>6</v>
      </c>
      <c r="C1876" t="s">
        <v>530</v>
      </c>
      <c r="D1876" t="s">
        <v>76</v>
      </c>
      <c r="E1876" t="s">
        <v>239</v>
      </c>
      <c r="F1876" t="s">
        <v>418</v>
      </c>
      <c r="G1876">
        <v>-694953.61</v>
      </c>
    </row>
    <row r="1877" spans="1:7" x14ac:dyDescent="0.35">
      <c r="A1877">
        <v>2025</v>
      </c>
      <c r="B1877">
        <v>6</v>
      </c>
      <c r="C1877" t="s">
        <v>530</v>
      </c>
      <c r="D1877" t="s">
        <v>35</v>
      </c>
      <c r="E1877" t="s">
        <v>240</v>
      </c>
      <c r="F1877" t="s">
        <v>419</v>
      </c>
      <c r="G1877">
        <v>198084.1</v>
      </c>
    </row>
    <row r="1878" spans="1:7" x14ac:dyDescent="0.35">
      <c r="A1878">
        <v>2025</v>
      </c>
      <c r="B1878">
        <v>6</v>
      </c>
      <c r="C1878" t="s">
        <v>530</v>
      </c>
      <c r="D1878" t="s">
        <v>103</v>
      </c>
      <c r="E1878" t="s">
        <v>242</v>
      </c>
      <c r="F1878" t="s">
        <v>421</v>
      </c>
      <c r="G1878">
        <v>269623</v>
      </c>
    </row>
    <row r="1879" spans="1:7" x14ac:dyDescent="0.35">
      <c r="A1879">
        <v>2025</v>
      </c>
      <c r="B1879">
        <v>6</v>
      </c>
      <c r="C1879" t="s">
        <v>530</v>
      </c>
      <c r="D1879" t="s">
        <v>104</v>
      </c>
      <c r="E1879" t="s">
        <v>243</v>
      </c>
      <c r="F1879" t="s">
        <v>422</v>
      </c>
      <c r="G1879">
        <v>-694954</v>
      </c>
    </row>
    <row r="1880" spans="1:7" x14ac:dyDescent="0.35">
      <c r="A1880">
        <v>2025</v>
      </c>
      <c r="B1880">
        <v>6</v>
      </c>
      <c r="C1880" t="s">
        <v>530</v>
      </c>
      <c r="D1880" t="s">
        <v>244</v>
      </c>
      <c r="E1880" t="s">
        <v>245</v>
      </c>
      <c r="F1880" t="s">
        <v>423</v>
      </c>
      <c r="G1880">
        <v>-1426820</v>
      </c>
    </row>
    <row r="1881" spans="1:7" x14ac:dyDescent="0.35">
      <c r="A1881">
        <v>2025</v>
      </c>
      <c r="B1881">
        <v>6</v>
      </c>
      <c r="C1881" t="s">
        <v>530</v>
      </c>
      <c r="D1881" t="s">
        <v>14</v>
      </c>
      <c r="E1881" t="s">
        <v>131</v>
      </c>
      <c r="F1881" t="s">
        <v>425</v>
      </c>
      <c r="G1881">
        <v>143541</v>
      </c>
    </row>
    <row r="1882" spans="1:7" x14ac:dyDescent="0.35">
      <c r="A1882">
        <v>2025</v>
      </c>
      <c r="B1882">
        <v>6</v>
      </c>
      <c r="C1882" t="s">
        <v>530</v>
      </c>
      <c r="D1882" t="s">
        <v>30</v>
      </c>
      <c r="E1882" t="s">
        <v>247</v>
      </c>
      <c r="F1882" t="s">
        <v>426</v>
      </c>
      <c r="G1882">
        <v>6331</v>
      </c>
    </row>
    <row r="1883" spans="1:7" x14ac:dyDescent="0.35">
      <c r="A1883">
        <v>2025</v>
      </c>
      <c r="B1883">
        <v>6</v>
      </c>
      <c r="C1883" t="s">
        <v>530</v>
      </c>
      <c r="D1883" t="s">
        <v>15</v>
      </c>
      <c r="E1883" t="s">
        <v>248</v>
      </c>
      <c r="F1883" t="s">
        <v>427</v>
      </c>
      <c r="G1883">
        <v>32482</v>
      </c>
    </row>
    <row r="1884" spans="1:7" x14ac:dyDescent="0.35">
      <c r="A1884">
        <v>2025</v>
      </c>
      <c r="B1884">
        <v>6</v>
      </c>
      <c r="C1884" t="s">
        <v>530</v>
      </c>
      <c r="D1884" t="s">
        <v>52</v>
      </c>
      <c r="E1884" t="s">
        <v>303</v>
      </c>
      <c r="F1884" t="s">
        <v>483</v>
      </c>
      <c r="G1884">
        <v>3488</v>
      </c>
    </row>
    <row r="1885" spans="1:7" x14ac:dyDescent="0.35">
      <c r="A1885">
        <v>2025</v>
      </c>
      <c r="B1885">
        <v>6</v>
      </c>
      <c r="C1885" t="s">
        <v>530</v>
      </c>
      <c r="D1885" t="s">
        <v>90</v>
      </c>
      <c r="E1885" t="s">
        <v>277</v>
      </c>
      <c r="F1885" t="s">
        <v>457</v>
      </c>
      <c r="G1885">
        <v>41322.31</v>
      </c>
    </row>
    <row r="1886" spans="1:7" x14ac:dyDescent="0.35">
      <c r="A1886">
        <v>2025</v>
      </c>
      <c r="B1886">
        <v>6</v>
      </c>
      <c r="C1886" t="s">
        <v>530</v>
      </c>
      <c r="D1886" t="s">
        <v>90</v>
      </c>
      <c r="E1886" t="s">
        <v>249</v>
      </c>
      <c r="F1886" t="s">
        <v>428</v>
      </c>
      <c r="G1886">
        <v>17502.400000000001</v>
      </c>
    </row>
    <row r="1887" spans="1:7" x14ac:dyDescent="0.35">
      <c r="A1887">
        <v>2025</v>
      </c>
      <c r="B1887">
        <v>6</v>
      </c>
      <c r="C1887" t="s">
        <v>530</v>
      </c>
      <c r="D1887" t="s">
        <v>84</v>
      </c>
      <c r="E1887" t="s">
        <v>250</v>
      </c>
      <c r="F1887" t="s">
        <v>429</v>
      </c>
      <c r="G1887">
        <v>1562651.06</v>
      </c>
    </row>
    <row r="1888" spans="1:7" x14ac:dyDescent="0.35">
      <c r="A1888">
        <v>2025</v>
      </c>
      <c r="B1888">
        <v>6</v>
      </c>
      <c r="C1888" t="s">
        <v>530</v>
      </c>
      <c r="D1888" t="s">
        <v>81</v>
      </c>
      <c r="E1888" t="s">
        <v>251</v>
      </c>
      <c r="F1888" t="s">
        <v>430</v>
      </c>
      <c r="G1888">
        <v>808564.95</v>
      </c>
    </row>
    <row r="1889" spans="1:7" x14ac:dyDescent="0.35">
      <c r="A1889">
        <v>2025</v>
      </c>
      <c r="B1889">
        <v>6</v>
      </c>
      <c r="C1889" t="s">
        <v>530</v>
      </c>
      <c r="D1889" t="s">
        <v>81</v>
      </c>
      <c r="E1889" t="s">
        <v>252</v>
      </c>
      <c r="F1889" t="s">
        <v>431</v>
      </c>
      <c r="G1889">
        <v>7892782.0800000001</v>
      </c>
    </row>
    <row r="1890" spans="1:7" x14ac:dyDescent="0.35">
      <c r="A1890">
        <v>2025</v>
      </c>
      <c r="B1890">
        <v>6</v>
      </c>
      <c r="C1890" t="s">
        <v>530</v>
      </c>
      <c r="D1890" t="s">
        <v>81</v>
      </c>
      <c r="E1890" t="s">
        <v>289</v>
      </c>
      <c r="F1890" t="s">
        <v>471</v>
      </c>
      <c r="G1890">
        <v>616500</v>
      </c>
    </row>
    <row r="1891" spans="1:7" x14ac:dyDescent="0.35">
      <c r="A1891">
        <v>2025</v>
      </c>
      <c r="B1891">
        <v>6</v>
      </c>
      <c r="C1891" t="s">
        <v>530</v>
      </c>
      <c r="D1891" t="s">
        <v>44</v>
      </c>
      <c r="E1891" t="s">
        <v>253</v>
      </c>
      <c r="F1891" t="s">
        <v>432</v>
      </c>
      <c r="G1891">
        <v>55000</v>
      </c>
    </row>
    <row r="1892" spans="1:7" x14ac:dyDescent="0.35">
      <c r="A1892">
        <v>2025</v>
      </c>
      <c r="B1892">
        <v>6</v>
      </c>
      <c r="C1892" t="s">
        <v>530</v>
      </c>
      <c r="D1892" t="s">
        <v>16</v>
      </c>
      <c r="E1892" t="s">
        <v>254</v>
      </c>
      <c r="F1892" t="s">
        <v>433</v>
      </c>
      <c r="G1892">
        <v>43924</v>
      </c>
    </row>
    <row r="1893" spans="1:7" x14ac:dyDescent="0.35">
      <c r="A1893">
        <v>2025</v>
      </c>
      <c r="B1893">
        <v>6</v>
      </c>
      <c r="C1893" t="s">
        <v>530</v>
      </c>
      <c r="D1893" t="s">
        <v>34</v>
      </c>
      <c r="E1893" t="s">
        <v>278</v>
      </c>
      <c r="F1893" t="s">
        <v>458</v>
      </c>
      <c r="G1893">
        <v>267100</v>
      </c>
    </row>
    <row r="1894" spans="1:7" x14ac:dyDescent="0.35">
      <c r="A1894">
        <v>2025</v>
      </c>
      <c r="B1894">
        <v>6</v>
      </c>
      <c r="C1894" t="s">
        <v>530</v>
      </c>
      <c r="D1894" t="s">
        <v>55</v>
      </c>
      <c r="E1894" t="s">
        <v>287</v>
      </c>
      <c r="F1894" t="s">
        <v>467</v>
      </c>
      <c r="G1894">
        <v>84530</v>
      </c>
    </row>
    <row r="1895" spans="1:7" x14ac:dyDescent="0.35">
      <c r="A1895">
        <v>2025</v>
      </c>
      <c r="B1895">
        <v>6</v>
      </c>
      <c r="C1895" t="s">
        <v>530</v>
      </c>
      <c r="D1895" t="s">
        <v>37</v>
      </c>
      <c r="E1895" t="s">
        <v>256</v>
      </c>
      <c r="F1895" t="s">
        <v>435</v>
      </c>
      <c r="G1895">
        <v>-80575.899999999994</v>
      </c>
    </row>
    <row r="1896" spans="1:7" x14ac:dyDescent="0.35">
      <c r="A1896">
        <v>2025</v>
      </c>
      <c r="B1896">
        <v>6</v>
      </c>
      <c r="C1896" t="s">
        <v>530</v>
      </c>
      <c r="D1896" t="s">
        <v>37</v>
      </c>
      <c r="E1896" t="s">
        <v>257</v>
      </c>
      <c r="F1896" t="s">
        <v>436</v>
      </c>
      <c r="G1896">
        <v>-8118828.5999999996</v>
      </c>
    </row>
    <row r="1897" spans="1:7" x14ac:dyDescent="0.35">
      <c r="A1897">
        <v>2025</v>
      </c>
      <c r="B1897">
        <v>6</v>
      </c>
      <c r="C1897" t="s">
        <v>530</v>
      </c>
      <c r="D1897" t="s">
        <v>18</v>
      </c>
      <c r="E1897" t="s">
        <v>259</v>
      </c>
      <c r="F1897" t="s">
        <v>438</v>
      </c>
      <c r="G1897">
        <v>10742</v>
      </c>
    </row>
    <row r="1898" spans="1:7" x14ac:dyDescent="0.35">
      <c r="A1898">
        <v>2025</v>
      </c>
      <c r="B1898">
        <v>7</v>
      </c>
      <c r="C1898" t="s">
        <v>556</v>
      </c>
      <c r="E1898" t="s">
        <v>291</v>
      </c>
      <c r="F1898" t="s">
        <v>474</v>
      </c>
      <c r="G1898">
        <v>9160</v>
      </c>
    </row>
    <row r="1899" spans="1:7" x14ac:dyDescent="0.35">
      <c r="A1899">
        <v>2025</v>
      </c>
      <c r="B1899">
        <v>7</v>
      </c>
      <c r="C1899" t="s">
        <v>556</v>
      </c>
      <c r="E1899" t="s">
        <v>528</v>
      </c>
      <c r="F1899" t="s">
        <v>529</v>
      </c>
      <c r="G1899">
        <v>3988</v>
      </c>
    </row>
    <row r="1900" spans="1:7" x14ac:dyDescent="0.35">
      <c r="A1900">
        <v>2025</v>
      </c>
      <c r="B1900">
        <v>7</v>
      </c>
      <c r="C1900" t="s">
        <v>556</v>
      </c>
      <c r="D1900" t="s">
        <v>59</v>
      </c>
      <c r="E1900" t="s">
        <v>133</v>
      </c>
      <c r="F1900" t="s">
        <v>313</v>
      </c>
      <c r="G1900">
        <v>2550</v>
      </c>
    </row>
    <row r="1901" spans="1:7" x14ac:dyDescent="0.35">
      <c r="A1901">
        <v>2025</v>
      </c>
      <c r="B1901">
        <v>7</v>
      </c>
      <c r="C1901" t="s">
        <v>556</v>
      </c>
      <c r="D1901" t="s">
        <v>38</v>
      </c>
      <c r="E1901" t="s">
        <v>122</v>
      </c>
      <c r="F1901" t="s">
        <v>314</v>
      </c>
      <c r="G1901">
        <v>103209</v>
      </c>
    </row>
    <row r="1902" spans="1:7" x14ac:dyDescent="0.35">
      <c r="A1902">
        <v>2025</v>
      </c>
      <c r="B1902">
        <v>7</v>
      </c>
      <c r="C1902" t="s">
        <v>556</v>
      </c>
      <c r="D1902" t="s">
        <v>6</v>
      </c>
      <c r="E1902" t="s">
        <v>135</v>
      </c>
      <c r="F1902" t="s">
        <v>316</v>
      </c>
      <c r="G1902">
        <v>22628</v>
      </c>
    </row>
    <row r="1903" spans="1:7" x14ac:dyDescent="0.35">
      <c r="A1903">
        <v>2025</v>
      </c>
      <c r="B1903">
        <v>7</v>
      </c>
      <c r="C1903" t="s">
        <v>556</v>
      </c>
      <c r="D1903" t="s">
        <v>6</v>
      </c>
      <c r="E1903" t="s">
        <v>136</v>
      </c>
      <c r="F1903" t="s">
        <v>317</v>
      </c>
      <c r="G1903">
        <v>114301</v>
      </c>
    </row>
    <row r="1904" spans="1:7" x14ac:dyDescent="0.35">
      <c r="A1904">
        <v>2025</v>
      </c>
      <c r="B1904">
        <v>7</v>
      </c>
      <c r="C1904" t="s">
        <v>556</v>
      </c>
      <c r="D1904" t="s">
        <v>6</v>
      </c>
      <c r="E1904" t="s">
        <v>137</v>
      </c>
      <c r="F1904" t="s">
        <v>318</v>
      </c>
      <c r="G1904">
        <v>17614</v>
      </c>
    </row>
    <row r="1905" spans="1:7" x14ac:dyDescent="0.35">
      <c r="A1905">
        <v>2025</v>
      </c>
      <c r="B1905">
        <v>7</v>
      </c>
      <c r="C1905" t="s">
        <v>556</v>
      </c>
      <c r="D1905" t="s">
        <v>6</v>
      </c>
      <c r="E1905" t="s">
        <v>138</v>
      </c>
      <c r="F1905" t="s">
        <v>319</v>
      </c>
      <c r="G1905">
        <v>13979</v>
      </c>
    </row>
    <row r="1906" spans="1:7" x14ac:dyDescent="0.35">
      <c r="A1906">
        <v>2025</v>
      </c>
      <c r="B1906">
        <v>7</v>
      </c>
      <c r="C1906" t="s">
        <v>556</v>
      </c>
      <c r="D1906" t="s">
        <v>31</v>
      </c>
      <c r="E1906" t="s">
        <v>143</v>
      </c>
      <c r="F1906" t="s">
        <v>324</v>
      </c>
      <c r="G1906">
        <v>241920</v>
      </c>
    </row>
    <row r="1907" spans="1:7" x14ac:dyDescent="0.35">
      <c r="A1907">
        <v>2025</v>
      </c>
      <c r="B1907">
        <v>7</v>
      </c>
      <c r="C1907" t="s">
        <v>556</v>
      </c>
      <c r="D1907" t="s">
        <v>26</v>
      </c>
      <c r="E1907" t="s">
        <v>144</v>
      </c>
      <c r="F1907" t="s">
        <v>325</v>
      </c>
      <c r="G1907">
        <v>17177</v>
      </c>
    </row>
    <row r="1908" spans="1:7" x14ac:dyDescent="0.35">
      <c r="A1908">
        <v>2025</v>
      </c>
      <c r="B1908">
        <v>7</v>
      </c>
      <c r="C1908" t="s">
        <v>556</v>
      </c>
      <c r="D1908" t="s">
        <v>41</v>
      </c>
      <c r="E1908" t="s">
        <v>145</v>
      </c>
      <c r="F1908" t="s">
        <v>326</v>
      </c>
      <c r="G1908">
        <v>9983</v>
      </c>
    </row>
    <row r="1909" spans="1:7" x14ac:dyDescent="0.35">
      <c r="A1909">
        <v>2025</v>
      </c>
      <c r="B1909">
        <v>7</v>
      </c>
      <c r="C1909" t="s">
        <v>556</v>
      </c>
      <c r="D1909" t="s">
        <v>42</v>
      </c>
      <c r="E1909" t="s">
        <v>146</v>
      </c>
      <c r="F1909" t="s">
        <v>327</v>
      </c>
      <c r="G1909">
        <v>4157</v>
      </c>
    </row>
    <row r="1910" spans="1:7" x14ac:dyDescent="0.35">
      <c r="A1910">
        <v>2025</v>
      </c>
      <c r="B1910">
        <v>7</v>
      </c>
      <c r="C1910" t="s">
        <v>556</v>
      </c>
      <c r="D1910" t="s">
        <v>7</v>
      </c>
      <c r="E1910" t="s">
        <v>147</v>
      </c>
      <c r="F1910" t="s">
        <v>328</v>
      </c>
      <c r="G1910">
        <v>36194</v>
      </c>
    </row>
    <row r="1911" spans="1:7" x14ac:dyDescent="0.35">
      <c r="A1911">
        <v>2025</v>
      </c>
      <c r="B1911">
        <v>7</v>
      </c>
      <c r="C1911" t="s">
        <v>556</v>
      </c>
      <c r="D1911" t="s">
        <v>67</v>
      </c>
      <c r="E1911" t="s">
        <v>148</v>
      </c>
      <c r="F1911" t="s">
        <v>329</v>
      </c>
      <c r="G1911">
        <v>5871</v>
      </c>
    </row>
    <row r="1912" spans="1:7" x14ac:dyDescent="0.35">
      <c r="A1912">
        <v>2025</v>
      </c>
      <c r="B1912">
        <v>7</v>
      </c>
      <c r="C1912" t="s">
        <v>556</v>
      </c>
      <c r="D1912" t="s">
        <v>67</v>
      </c>
      <c r="E1912" t="s">
        <v>149</v>
      </c>
      <c r="F1912" t="s">
        <v>330</v>
      </c>
      <c r="G1912">
        <v>4580</v>
      </c>
    </row>
    <row r="1913" spans="1:7" x14ac:dyDescent="0.35">
      <c r="A1913">
        <v>2025</v>
      </c>
      <c r="B1913">
        <v>7</v>
      </c>
      <c r="C1913" t="s">
        <v>556</v>
      </c>
      <c r="D1913" t="s">
        <v>67</v>
      </c>
      <c r="E1913" t="s">
        <v>150</v>
      </c>
      <c r="F1913" t="s">
        <v>331</v>
      </c>
      <c r="G1913">
        <v>38628</v>
      </c>
    </row>
    <row r="1914" spans="1:7" x14ac:dyDescent="0.35">
      <c r="A1914">
        <v>2025</v>
      </c>
      <c r="B1914">
        <v>7</v>
      </c>
      <c r="C1914" t="s">
        <v>556</v>
      </c>
      <c r="D1914" t="s">
        <v>67</v>
      </c>
      <c r="E1914" t="s">
        <v>151</v>
      </c>
      <c r="F1914" t="s">
        <v>332</v>
      </c>
      <c r="G1914">
        <v>5436</v>
      </c>
    </row>
    <row r="1915" spans="1:7" x14ac:dyDescent="0.35">
      <c r="A1915">
        <v>2025</v>
      </c>
      <c r="B1915">
        <v>7</v>
      </c>
      <c r="C1915" t="s">
        <v>556</v>
      </c>
      <c r="D1915" t="s">
        <v>67</v>
      </c>
      <c r="E1915" t="s">
        <v>152</v>
      </c>
      <c r="F1915" t="s">
        <v>333</v>
      </c>
      <c r="G1915">
        <v>37445</v>
      </c>
    </row>
    <row r="1916" spans="1:7" x14ac:dyDescent="0.35">
      <c r="A1916">
        <v>2025</v>
      </c>
      <c r="B1916">
        <v>7</v>
      </c>
      <c r="C1916" t="s">
        <v>556</v>
      </c>
      <c r="D1916" t="s">
        <v>93</v>
      </c>
      <c r="E1916" t="s">
        <v>153</v>
      </c>
      <c r="F1916" t="s">
        <v>334</v>
      </c>
      <c r="G1916">
        <v>24563.9</v>
      </c>
    </row>
    <row r="1917" spans="1:7" x14ac:dyDescent="0.35">
      <c r="A1917">
        <v>2025</v>
      </c>
      <c r="B1917">
        <v>7</v>
      </c>
      <c r="C1917" t="s">
        <v>556</v>
      </c>
      <c r="D1917" t="s">
        <v>93</v>
      </c>
      <c r="E1917" t="s">
        <v>154</v>
      </c>
      <c r="F1917" t="s">
        <v>335</v>
      </c>
      <c r="G1917">
        <v>41146.83</v>
      </c>
    </row>
    <row r="1918" spans="1:7" x14ac:dyDescent="0.35">
      <c r="A1918">
        <v>2025</v>
      </c>
      <c r="B1918">
        <v>7</v>
      </c>
      <c r="C1918" t="s">
        <v>556</v>
      </c>
      <c r="D1918" t="s">
        <v>89</v>
      </c>
      <c r="E1918" t="s">
        <v>155</v>
      </c>
      <c r="F1918" t="s">
        <v>336</v>
      </c>
      <c r="G1918">
        <v>-86530.6</v>
      </c>
    </row>
    <row r="1919" spans="1:7" x14ac:dyDescent="0.35">
      <c r="A1919">
        <v>2025</v>
      </c>
      <c r="B1919">
        <v>7</v>
      </c>
      <c r="C1919" t="s">
        <v>556</v>
      </c>
      <c r="D1919" t="s">
        <v>89</v>
      </c>
      <c r="E1919" t="s">
        <v>156</v>
      </c>
      <c r="F1919" t="s">
        <v>337</v>
      </c>
      <c r="G1919">
        <v>417224.66</v>
      </c>
    </row>
    <row r="1920" spans="1:7" x14ac:dyDescent="0.35">
      <c r="A1920">
        <v>2025</v>
      </c>
      <c r="B1920">
        <v>7</v>
      </c>
      <c r="C1920" t="s">
        <v>556</v>
      </c>
      <c r="D1920" t="s">
        <v>61</v>
      </c>
      <c r="E1920" t="s">
        <v>262</v>
      </c>
      <c r="F1920" t="s">
        <v>442</v>
      </c>
      <c r="G1920">
        <v>2260</v>
      </c>
    </row>
    <row r="1921" spans="1:7" x14ac:dyDescent="0.35">
      <c r="A1921">
        <v>2025</v>
      </c>
      <c r="B1921">
        <v>7</v>
      </c>
      <c r="C1921" t="s">
        <v>556</v>
      </c>
      <c r="D1921" t="s">
        <v>8</v>
      </c>
      <c r="E1921" t="s">
        <v>157</v>
      </c>
      <c r="F1921" t="s">
        <v>338</v>
      </c>
      <c r="G1921">
        <v>3917</v>
      </c>
    </row>
    <row r="1922" spans="1:7" x14ac:dyDescent="0.35">
      <c r="A1922">
        <v>2025</v>
      </c>
      <c r="B1922">
        <v>7</v>
      </c>
      <c r="C1922" t="s">
        <v>556</v>
      </c>
      <c r="D1922" t="s">
        <v>20</v>
      </c>
      <c r="E1922" t="s">
        <v>158</v>
      </c>
      <c r="F1922" t="s">
        <v>339</v>
      </c>
      <c r="G1922">
        <v>1837013</v>
      </c>
    </row>
    <row r="1923" spans="1:7" x14ac:dyDescent="0.35">
      <c r="A1923">
        <v>2025</v>
      </c>
      <c r="B1923">
        <v>7</v>
      </c>
      <c r="C1923" t="s">
        <v>556</v>
      </c>
      <c r="D1923" t="s">
        <v>21</v>
      </c>
      <c r="E1923" t="s">
        <v>159</v>
      </c>
      <c r="F1923" t="s">
        <v>340</v>
      </c>
      <c r="G1923">
        <v>117480</v>
      </c>
    </row>
    <row r="1924" spans="1:7" x14ac:dyDescent="0.35">
      <c r="A1924">
        <v>2025</v>
      </c>
      <c r="B1924">
        <v>7</v>
      </c>
      <c r="C1924" t="s">
        <v>556</v>
      </c>
      <c r="D1924" t="s">
        <v>160</v>
      </c>
      <c r="E1924" t="s">
        <v>161</v>
      </c>
      <c r="F1924" t="s">
        <v>341</v>
      </c>
      <c r="G1924">
        <v>6491</v>
      </c>
    </row>
    <row r="1925" spans="1:7" x14ac:dyDescent="0.35">
      <c r="A1925">
        <v>2025</v>
      </c>
      <c r="B1925">
        <v>7</v>
      </c>
      <c r="C1925" t="s">
        <v>556</v>
      </c>
      <c r="D1925" t="s">
        <v>32</v>
      </c>
      <c r="E1925" t="s">
        <v>162</v>
      </c>
      <c r="F1925" t="s">
        <v>342</v>
      </c>
      <c r="G1925">
        <v>2686</v>
      </c>
    </row>
    <row r="1926" spans="1:7" x14ac:dyDescent="0.35">
      <c r="A1926">
        <v>2025</v>
      </c>
      <c r="B1926">
        <v>7</v>
      </c>
      <c r="C1926" t="s">
        <v>556</v>
      </c>
      <c r="D1926" t="s">
        <v>22</v>
      </c>
      <c r="E1926" t="s">
        <v>165</v>
      </c>
      <c r="F1926" t="s">
        <v>344</v>
      </c>
      <c r="G1926">
        <v>8155</v>
      </c>
    </row>
    <row r="1927" spans="1:7" x14ac:dyDescent="0.35">
      <c r="A1927">
        <v>2025</v>
      </c>
      <c r="B1927">
        <v>7</v>
      </c>
      <c r="C1927" t="s">
        <v>556</v>
      </c>
      <c r="D1927" t="s">
        <v>27</v>
      </c>
      <c r="E1927" t="s">
        <v>166</v>
      </c>
      <c r="F1927" t="s">
        <v>345</v>
      </c>
      <c r="G1927">
        <v>82497</v>
      </c>
    </row>
    <row r="1928" spans="1:7" x14ac:dyDescent="0.35">
      <c r="A1928">
        <v>2025</v>
      </c>
      <c r="B1928">
        <v>7</v>
      </c>
      <c r="C1928" t="s">
        <v>556</v>
      </c>
      <c r="D1928" t="s">
        <v>167</v>
      </c>
      <c r="E1928" t="s">
        <v>167</v>
      </c>
      <c r="F1928" t="s">
        <v>346</v>
      </c>
      <c r="G1928">
        <v>-900211</v>
      </c>
    </row>
    <row r="1929" spans="1:7" x14ac:dyDescent="0.35">
      <c r="A1929">
        <v>2025</v>
      </c>
      <c r="B1929">
        <v>7</v>
      </c>
      <c r="C1929" t="s">
        <v>556</v>
      </c>
      <c r="D1929" t="s">
        <v>9</v>
      </c>
      <c r="E1929" t="s">
        <v>168</v>
      </c>
      <c r="F1929" t="s">
        <v>347</v>
      </c>
      <c r="G1929">
        <v>11447</v>
      </c>
    </row>
    <row r="1930" spans="1:7" x14ac:dyDescent="0.35">
      <c r="A1930">
        <v>2025</v>
      </c>
      <c r="B1930">
        <v>7</v>
      </c>
      <c r="C1930" t="s">
        <v>556</v>
      </c>
      <c r="D1930" t="s">
        <v>9</v>
      </c>
      <c r="E1930" t="s">
        <v>169</v>
      </c>
      <c r="F1930" t="s">
        <v>348</v>
      </c>
      <c r="G1930">
        <v>38720</v>
      </c>
    </row>
    <row r="1931" spans="1:7" x14ac:dyDescent="0.35">
      <c r="A1931">
        <v>2025</v>
      </c>
      <c r="B1931">
        <v>7</v>
      </c>
      <c r="C1931" t="s">
        <v>556</v>
      </c>
      <c r="D1931" t="s">
        <v>72</v>
      </c>
      <c r="E1931" t="s">
        <v>170</v>
      </c>
      <c r="F1931" t="s">
        <v>349</v>
      </c>
      <c r="G1931">
        <v>54700</v>
      </c>
    </row>
    <row r="1932" spans="1:7" x14ac:dyDescent="0.35">
      <c r="A1932">
        <v>2025</v>
      </c>
      <c r="B1932">
        <v>7</v>
      </c>
      <c r="C1932" t="s">
        <v>556</v>
      </c>
      <c r="D1932" t="s">
        <v>39</v>
      </c>
      <c r="E1932" t="s">
        <v>171</v>
      </c>
      <c r="F1932" t="s">
        <v>350</v>
      </c>
      <c r="G1932">
        <v>24759</v>
      </c>
    </row>
    <row r="1933" spans="1:7" x14ac:dyDescent="0.35">
      <c r="A1933">
        <v>2025</v>
      </c>
      <c r="B1933">
        <v>7</v>
      </c>
      <c r="C1933" t="s">
        <v>556</v>
      </c>
      <c r="D1933" t="s">
        <v>10</v>
      </c>
      <c r="E1933" t="s">
        <v>172</v>
      </c>
      <c r="F1933" t="s">
        <v>351</v>
      </c>
      <c r="G1933">
        <v>3907</v>
      </c>
    </row>
    <row r="1934" spans="1:7" x14ac:dyDescent="0.35">
      <c r="A1934">
        <v>2025</v>
      </c>
      <c r="B1934">
        <v>7</v>
      </c>
      <c r="C1934" t="s">
        <v>556</v>
      </c>
      <c r="D1934" t="s">
        <v>66</v>
      </c>
      <c r="E1934" t="s">
        <v>173</v>
      </c>
      <c r="F1934" t="s">
        <v>352</v>
      </c>
      <c r="G1934">
        <v>420051</v>
      </c>
    </row>
    <row r="1935" spans="1:7" x14ac:dyDescent="0.35">
      <c r="A1935">
        <v>2025</v>
      </c>
      <c r="B1935">
        <v>7</v>
      </c>
      <c r="C1935" t="s">
        <v>556</v>
      </c>
      <c r="D1935" t="s">
        <v>66</v>
      </c>
      <c r="E1935" t="s">
        <v>174</v>
      </c>
      <c r="F1935" t="s">
        <v>353</v>
      </c>
      <c r="G1935">
        <v>73850</v>
      </c>
    </row>
    <row r="1936" spans="1:7" x14ac:dyDescent="0.35">
      <c r="A1936">
        <v>2025</v>
      </c>
      <c r="B1936">
        <v>7</v>
      </c>
      <c r="C1936" t="s">
        <v>556</v>
      </c>
      <c r="D1936" t="s">
        <v>66</v>
      </c>
      <c r="E1936" t="s">
        <v>175</v>
      </c>
      <c r="F1936" t="s">
        <v>354</v>
      </c>
      <c r="G1936">
        <v>483</v>
      </c>
    </row>
    <row r="1937" spans="1:7" x14ac:dyDescent="0.35">
      <c r="A1937">
        <v>2025</v>
      </c>
      <c r="B1937">
        <v>7</v>
      </c>
      <c r="C1937" t="s">
        <v>556</v>
      </c>
      <c r="D1937" t="s">
        <v>66</v>
      </c>
      <c r="E1937" t="s">
        <v>176</v>
      </c>
      <c r="F1937" t="s">
        <v>355</v>
      </c>
      <c r="G1937">
        <v>43555</v>
      </c>
    </row>
    <row r="1938" spans="1:7" x14ac:dyDescent="0.35">
      <c r="A1938">
        <v>2025</v>
      </c>
      <c r="B1938">
        <v>7</v>
      </c>
      <c r="C1938" t="s">
        <v>556</v>
      </c>
      <c r="D1938" t="s">
        <v>66</v>
      </c>
      <c r="E1938" t="s">
        <v>177</v>
      </c>
      <c r="F1938" t="s">
        <v>356</v>
      </c>
      <c r="G1938">
        <v>40239</v>
      </c>
    </row>
    <row r="1939" spans="1:7" x14ac:dyDescent="0.35">
      <c r="A1939">
        <v>2025</v>
      </c>
      <c r="B1939">
        <v>7</v>
      </c>
      <c r="C1939" t="s">
        <v>556</v>
      </c>
      <c r="D1939" t="s">
        <v>11</v>
      </c>
      <c r="E1939" t="s">
        <v>179</v>
      </c>
      <c r="F1939" t="s">
        <v>180</v>
      </c>
      <c r="G1939">
        <v>14277</v>
      </c>
    </row>
    <row r="1940" spans="1:7" x14ac:dyDescent="0.35">
      <c r="A1940">
        <v>2025</v>
      </c>
      <c r="B1940">
        <v>7</v>
      </c>
      <c r="C1940" t="s">
        <v>556</v>
      </c>
      <c r="D1940" t="s">
        <v>74</v>
      </c>
      <c r="E1940" t="s">
        <v>186</v>
      </c>
      <c r="F1940" t="s">
        <v>364</v>
      </c>
      <c r="G1940">
        <v>15838</v>
      </c>
    </row>
    <row r="1941" spans="1:7" x14ac:dyDescent="0.35">
      <c r="A1941">
        <v>2025</v>
      </c>
      <c r="B1941">
        <v>7</v>
      </c>
      <c r="C1941" t="s">
        <v>556</v>
      </c>
      <c r="D1941" t="s">
        <v>74</v>
      </c>
      <c r="E1941" t="s">
        <v>187</v>
      </c>
      <c r="F1941" t="s">
        <v>365</v>
      </c>
      <c r="G1941">
        <v>2499</v>
      </c>
    </row>
    <row r="1942" spans="1:7" x14ac:dyDescent="0.35">
      <c r="A1942">
        <v>2025</v>
      </c>
      <c r="B1942">
        <v>7</v>
      </c>
      <c r="C1942" t="s">
        <v>556</v>
      </c>
      <c r="D1942" t="s">
        <v>74</v>
      </c>
      <c r="E1942" t="s">
        <v>283</v>
      </c>
      <c r="F1942" t="s">
        <v>463</v>
      </c>
      <c r="G1942">
        <v>4869</v>
      </c>
    </row>
    <row r="1943" spans="1:7" x14ac:dyDescent="0.35">
      <c r="A1943">
        <v>2025</v>
      </c>
      <c r="B1943">
        <v>7</v>
      </c>
      <c r="C1943" t="s">
        <v>556</v>
      </c>
      <c r="D1943" t="s">
        <v>85</v>
      </c>
      <c r="E1943" t="s">
        <v>188</v>
      </c>
      <c r="F1943" t="s">
        <v>366</v>
      </c>
      <c r="G1943">
        <v>505118</v>
      </c>
    </row>
    <row r="1944" spans="1:7" x14ac:dyDescent="0.35">
      <c r="A1944">
        <v>2025</v>
      </c>
      <c r="B1944">
        <v>7</v>
      </c>
      <c r="C1944" t="s">
        <v>556</v>
      </c>
      <c r="D1944" t="s">
        <v>106</v>
      </c>
      <c r="E1944" t="s">
        <v>189</v>
      </c>
      <c r="F1944" t="s">
        <v>367</v>
      </c>
      <c r="G1944">
        <v>3743762</v>
      </c>
    </row>
    <row r="1945" spans="1:7" x14ac:dyDescent="0.35">
      <c r="A1945">
        <v>2025</v>
      </c>
      <c r="B1945">
        <v>7</v>
      </c>
      <c r="C1945" t="s">
        <v>556</v>
      </c>
      <c r="D1945" t="s">
        <v>106</v>
      </c>
      <c r="E1945" t="s">
        <v>190</v>
      </c>
      <c r="F1945" t="s">
        <v>368</v>
      </c>
      <c r="G1945">
        <v>174102</v>
      </c>
    </row>
    <row r="1946" spans="1:7" x14ac:dyDescent="0.35">
      <c r="A1946">
        <v>2025</v>
      </c>
      <c r="B1946">
        <v>7</v>
      </c>
      <c r="C1946" t="s">
        <v>556</v>
      </c>
      <c r="D1946" t="s">
        <v>106</v>
      </c>
      <c r="E1946" t="s">
        <v>191</v>
      </c>
      <c r="F1946" t="s">
        <v>369</v>
      </c>
      <c r="G1946">
        <v>926548</v>
      </c>
    </row>
    <row r="1947" spans="1:7" x14ac:dyDescent="0.35">
      <c r="A1947">
        <v>2025</v>
      </c>
      <c r="B1947">
        <v>7</v>
      </c>
      <c r="C1947" t="s">
        <v>556</v>
      </c>
      <c r="D1947" t="s">
        <v>106</v>
      </c>
      <c r="E1947" t="s">
        <v>192</v>
      </c>
      <c r="F1947" t="s">
        <v>370</v>
      </c>
      <c r="G1947">
        <v>336246</v>
      </c>
    </row>
    <row r="1948" spans="1:7" x14ac:dyDescent="0.35">
      <c r="A1948">
        <v>2025</v>
      </c>
      <c r="B1948">
        <v>7</v>
      </c>
      <c r="C1948" t="s">
        <v>556</v>
      </c>
      <c r="D1948" t="s">
        <v>106</v>
      </c>
      <c r="E1948" t="s">
        <v>193</v>
      </c>
      <c r="F1948" t="s">
        <v>371</v>
      </c>
      <c r="G1948">
        <v>28600</v>
      </c>
    </row>
    <row r="1949" spans="1:7" x14ac:dyDescent="0.35">
      <c r="A1949">
        <v>2025</v>
      </c>
      <c r="B1949">
        <v>7</v>
      </c>
      <c r="C1949" t="s">
        <v>556</v>
      </c>
      <c r="D1949" t="s">
        <v>106</v>
      </c>
      <c r="E1949" t="s">
        <v>194</v>
      </c>
      <c r="F1949" t="s">
        <v>372</v>
      </c>
      <c r="G1949">
        <v>1800</v>
      </c>
    </row>
    <row r="1950" spans="1:7" x14ac:dyDescent="0.35">
      <c r="A1950">
        <v>2025</v>
      </c>
      <c r="B1950">
        <v>7</v>
      </c>
      <c r="C1950" t="s">
        <v>556</v>
      </c>
      <c r="D1950" t="s">
        <v>106</v>
      </c>
      <c r="E1950" t="s">
        <v>195</v>
      </c>
      <c r="F1950" t="s">
        <v>373</v>
      </c>
      <c r="G1950">
        <v>104780</v>
      </c>
    </row>
    <row r="1951" spans="1:7" x14ac:dyDescent="0.35">
      <c r="A1951">
        <v>2025</v>
      </c>
      <c r="B1951">
        <v>7</v>
      </c>
      <c r="C1951" t="s">
        <v>556</v>
      </c>
      <c r="D1951" t="s">
        <v>75</v>
      </c>
      <c r="E1951" t="s">
        <v>204</v>
      </c>
      <c r="F1951" t="s">
        <v>383</v>
      </c>
      <c r="G1951">
        <v>560</v>
      </c>
    </row>
    <row r="1952" spans="1:7" x14ac:dyDescent="0.35">
      <c r="A1952">
        <v>2025</v>
      </c>
      <c r="B1952">
        <v>7</v>
      </c>
      <c r="C1952" t="s">
        <v>556</v>
      </c>
      <c r="D1952" t="s">
        <v>23</v>
      </c>
      <c r="E1952" t="s">
        <v>206</v>
      </c>
      <c r="F1952" t="s">
        <v>385</v>
      </c>
      <c r="G1952">
        <v>18218</v>
      </c>
    </row>
    <row r="1953" spans="1:7" x14ac:dyDescent="0.35">
      <c r="A1953">
        <v>2025</v>
      </c>
      <c r="B1953">
        <v>7</v>
      </c>
      <c r="C1953" t="s">
        <v>556</v>
      </c>
      <c r="D1953" t="s">
        <v>24</v>
      </c>
      <c r="E1953" t="s">
        <v>207</v>
      </c>
      <c r="F1953" t="s">
        <v>386</v>
      </c>
      <c r="G1953">
        <v>59862</v>
      </c>
    </row>
    <row r="1954" spans="1:7" x14ac:dyDescent="0.35">
      <c r="A1954">
        <v>2025</v>
      </c>
      <c r="B1954">
        <v>7</v>
      </c>
      <c r="C1954" t="s">
        <v>556</v>
      </c>
      <c r="D1954" t="s">
        <v>519</v>
      </c>
      <c r="E1954" t="s">
        <v>203</v>
      </c>
      <c r="F1954" t="s">
        <v>381</v>
      </c>
      <c r="G1954">
        <v>2065.02</v>
      </c>
    </row>
    <row r="1955" spans="1:7" x14ac:dyDescent="0.35">
      <c r="A1955">
        <v>2025</v>
      </c>
      <c r="B1955">
        <v>7</v>
      </c>
      <c r="C1955" t="s">
        <v>556</v>
      </c>
      <c r="D1955" t="s">
        <v>519</v>
      </c>
      <c r="E1955" t="s">
        <v>196</v>
      </c>
      <c r="F1955" t="s">
        <v>382</v>
      </c>
      <c r="G1955">
        <v>179.57</v>
      </c>
    </row>
    <row r="1956" spans="1:7" x14ac:dyDescent="0.35">
      <c r="A1956">
        <v>2025</v>
      </c>
      <c r="B1956">
        <v>7</v>
      </c>
      <c r="C1956" t="s">
        <v>556</v>
      </c>
      <c r="D1956" t="s">
        <v>520</v>
      </c>
      <c r="E1956" t="s">
        <v>208</v>
      </c>
      <c r="F1956" t="s">
        <v>387</v>
      </c>
      <c r="G1956">
        <v>620</v>
      </c>
    </row>
    <row r="1957" spans="1:7" x14ac:dyDescent="0.35">
      <c r="A1957">
        <v>2025</v>
      </c>
      <c r="B1957">
        <v>7</v>
      </c>
      <c r="C1957" t="s">
        <v>556</v>
      </c>
      <c r="D1957" t="s">
        <v>520</v>
      </c>
      <c r="E1957" t="s">
        <v>134</v>
      </c>
      <c r="F1957" t="s">
        <v>315</v>
      </c>
      <c r="G1957">
        <v>3150</v>
      </c>
    </row>
    <row r="1958" spans="1:7" x14ac:dyDescent="0.35">
      <c r="A1958">
        <v>2025</v>
      </c>
      <c r="B1958">
        <v>7</v>
      </c>
      <c r="C1958" t="s">
        <v>556</v>
      </c>
      <c r="D1958" t="s">
        <v>520</v>
      </c>
      <c r="E1958" t="s">
        <v>196</v>
      </c>
      <c r="F1958" t="s">
        <v>374</v>
      </c>
      <c r="G1958">
        <v>10</v>
      </c>
    </row>
    <row r="1959" spans="1:7" x14ac:dyDescent="0.35">
      <c r="A1959">
        <v>2025</v>
      </c>
      <c r="B1959">
        <v>7</v>
      </c>
      <c r="C1959" t="s">
        <v>556</v>
      </c>
      <c r="D1959" t="s">
        <v>520</v>
      </c>
      <c r="E1959" t="s">
        <v>198</v>
      </c>
      <c r="F1959" t="s">
        <v>376</v>
      </c>
      <c r="G1959">
        <v>1680</v>
      </c>
    </row>
    <row r="1960" spans="1:7" x14ac:dyDescent="0.35">
      <c r="A1960">
        <v>2025</v>
      </c>
      <c r="B1960">
        <v>7</v>
      </c>
      <c r="C1960" t="s">
        <v>556</v>
      </c>
      <c r="D1960" t="s">
        <v>520</v>
      </c>
      <c r="E1960" t="s">
        <v>200</v>
      </c>
      <c r="F1960" t="s">
        <v>378</v>
      </c>
      <c r="G1960">
        <v>2951</v>
      </c>
    </row>
    <row r="1961" spans="1:7" x14ac:dyDescent="0.35">
      <c r="A1961">
        <v>2025</v>
      </c>
      <c r="B1961">
        <v>7</v>
      </c>
      <c r="C1961" t="s">
        <v>556</v>
      </c>
      <c r="D1961" t="s">
        <v>520</v>
      </c>
      <c r="E1961" t="s">
        <v>201</v>
      </c>
      <c r="F1961" t="s">
        <v>379</v>
      </c>
      <c r="G1961">
        <v>4141</v>
      </c>
    </row>
    <row r="1962" spans="1:7" x14ac:dyDescent="0.35">
      <c r="A1962">
        <v>2025</v>
      </c>
      <c r="B1962">
        <v>7</v>
      </c>
      <c r="C1962" t="s">
        <v>556</v>
      </c>
      <c r="D1962" t="s">
        <v>33</v>
      </c>
      <c r="E1962" t="s">
        <v>209</v>
      </c>
      <c r="F1962" t="s">
        <v>388</v>
      </c>
      <c r="G1962">
        <v>2914</v>
      </c>
    </row>
    <row r="1963" spans="1:7" x14ac:dyDescent="0.35">
      <c r="A1963">
        <v>2025</v>
      </c>
      <c r="B1963">
        <v>7</v>
      </c>
      <c r="C1963" t="s">
        <v>556</v>
      </c>
      <c r="D1963" t="s">
        <v>12</v>
      </c>
      <c r="E1963" t="s">
        <v>210</v>
      </c>
      <c r="F1963" t="s">
        <v>389</v>
      </c>
      <c r="G1963">
        <v>3201</v>
      </c>
    </row>
    <row r="1964" spans="1:7" x14ac:dyDescent="0.35">
      <c r="A1964">
        <v>2025</v>
      </c>
      <c r="B1964">
        <v>7</v>
      </c>
      <c r="C1964" t="s">
        <v>556</v>
      </c>
      <c r="D1964" t="s">
        <v>12</v>
      </c>
      <c r="E1964" t="s">
        <v>211</v>
      </c>
      <c r="F1964" t="s">
        <v>390</v>
      </c>
      <c r="G1964">
        <v>1136</v>
      </c>
    </row>
    <row r="1965" spans="1:7" x14ac:dyDescent="0.35">
      <c r="A1965">
        <v>2025</v>
      </c>
      <c r="B1965">
        <v>7</v>
      </c>
      <c r="C1965" t="s">
        <v>556</v>
      </c>
      <c r="D1965" t="s">
        <v>12</v>
      </c>
      <c r="E1965" t="s">
        <v>212</v>
      </c>
      <c r="F1965" t="s">
        <v>391</v>
      </c>
      <c r="G1965">
        <v>1594</v>
      </c>
    </row>
    <row r="1966" spans="1:7" x14ac:dyDescent="0.35">
      <c r="A1966">
        <v>2025</v>
      </c>
      <c r="B1966">
        <v>7</v>
      </c>
      <c r="C1966" t="s">
        <v>556</v>
      </c>
      <c r="D1966" t="s">
        <v>12</v>
      </c>
      <c r="E1966" t="s">
        <v>273</v>
      </c>
      <c r="F1966" t="s">
        <v>453</v>
      </c>
      <c r="G1966">
        <v>1291</v>
      </c>
    </row>
    <row r="1967" spans="1:7" x14ac:dyDescent="0.35">
      <c r="A1967">
        <v>2025</v>
      </c>
      <c r="B1967">
        <v>7</v>
      </c>
      <c r="C1967" t="s">
        <v>556</v>
      </c>
      <c r="D1967" t="s">
        <v>12</v>
      </c>
      <c r="E1967" t="s">
        <v>213</v>
      </c>
      <c r="F1967" t="s">
        <v>392</v>
      </c>
      <c r="G1967">
        <v>12758</v>
      </c>
    </row>
    <row r="1968" spans="1:7" x14ac:dyDescent="0.35">
      <c r="A1968">
        <v>2025</v>
      </c>
      <c r="B1968">
        <v>7</v>
      </c>
      <c r="C1968" t="s">
        <v>556</v>
      </c>
      <c r="D1968" t="s">
        <v>12</v>
      </c>
      <c r="E1968" t="s">
        <v>214</v>
      </c>
      <c r="F1968" t="s">
        <v>394</v>
      </c>
      <c r="G1968">
        <v>3354</v>
      </c>
    </row>
    <row r="1969" spans="1:7" x14ac:dyDescent="0.35">
      <c r="A1969">
        <v>2025</v>
      </c>
      <c r="B1969">
        <v>7</v>
      </c>
      <c r="C1969" t="s">
        <v>556</v>
      </c>
      <c r="D1969" t="s">
        <v>12</v>
      </c>
      <c r="E1969" t="s">
        <v>215</v>
      </c>
      <c r="F1969" t="s">
        <v>395</v>
      </c>
      <c r="G1969">
        <v>2227</v>
      </c>
    </row>
    <row r="1970" spans="1:7" x14ac:dyDescent="0.35">
      <c r="A1970">
        <v>2025</v>
      </c>
      <c r="B1970">
        <v>7</v>
      </c>
      <c r="C1970" t="s">
        <v>556</v>
      </c>
      <c r="D1970" t="s">
        <v>12</v>
      </c>
      <c r="E1970" t="s">
        <v>218</v>
      </c>
      <c r="F1970" t="s">
        <v>398</v>
      </c>
      <c r="G1970">
        <v>5947</v>
      </c>
    </row>
    <row r="1971" spans="1:7" x14ac:dyDescent="0.35">
      <c r="A1971">
        <v>2025</v>
      </c>
      <c r="B1971">
        <v>7</v>
      </c>
      <c r="C1971" t="s">
        <v>556</v>
      </c>
      <c r="D1971" t="s">
        <v>12</v>
      </c>
      <c r="E1971" t="s">
        <v>219</v>
      </c>
      <c r="F1971" t="s">
        <v>399</v>
      </c>
      <c r="G1971">
        <v>2941</v>
      </c>
    </row>
    <row r="1972" spans="1:7" x14ac:dyDescent="0.35">
      <c r="A1972">
        <v>2025</v>
      </c>
      <c r="B1972">
        <v>7</v>
      </c>
      <c r="C1972" t="s">
        <v>556</v>
      </c>
      <c r="D1972" t="s">
        <v>12</v>
      </c>
      <c r="E1972" t="s">
        <v>220</v>
      </c>
      <c r="F1972" t="s">
        <v>400</v>
      </c>
      <c r="G1972">
        <v>3041</v>
      </c>
    </row>
    <row r="1973" spans="1:7" x14ac:dyDescent="0.35">
      <c r="A1973">
        <v>2025</v>
      </c>
      <c r="B1973">
        <v>7</v>
      </c>
      <c r="C1973" t="s">
        <v>556</v>
      </c>
      <c r="D1973" t="s">
        <v>12</v>
      </c>
      <c r="E1973" t="s">
        <v>221</v>
      </c>
      <c r="F1973" t="s">
        <v>401</v>
      </c>
      <c r="G1973">
        <v>5915</v>
      </c>
    </row>
    <row r="1974" spans="1:7" x14ac:dyDescent="0.35">
      <c r="A1974">
        <v>2025</v>
      </c>
      <c r="B1974">
        <v>7</v>
      </c>
      <c r="C1974" t="s">
        <v>556</v>
      </c>
      <c r="D1974" t="s">
        <v>12</v>
      </c>
      <c r="E1974" t="s">
        <v>222</v>
      </c>
      <c r="F1974" t="s">
        <v>402</v>
      </c>
      <c r="G1974">
        <v>3755</v>
      </c>
    </row>
    <row r="1975" spans="1:7" x14ac:dyDescent="0.35">
      <c r="A1975">
        <v>2025</v>
      </c>
      <c r="B1975">
        <v>7</v>
      </c>
      <c r="C1975" t="s">
        <v>556</v>
      </c>
      <c r="D1975" t="s">
        <v>28</v>
      </c>
      <c r="E1975" t="s">
        <v>223</v>
      </c>
      <c r="F1975" t="s">
        <v>403</v>
      </c>
      <c r="G1975">
        <v>20900</v>
      </c>
    </row>
    <row r="1976" spans="1:7" x14ac:dyDescent="0.35">
      <c r="A1976">
        <v>2025</v>
      </c>
      <c r="B1976">
        <v>7</v>
      </c>
      <c r="C1976" t="s">
        <v>556</v>
      </c>
      <c r="D1976" t="s">
        <v>28</v>
      </c>
      <c r="E1976" t="s">
        <v>224</v>
      </c>
      <c r="F1976" t="s">
        <v>404</v>
      </c>
      <c r="G1976">
        <v>73685</v>
      </c>
    </row>
    <row r="1977" spans="1:7" x14ac:dyDescent="0.35">
      <c r="A1977">
        <v>2025</v>
      </c>
      <c r="B1977">
        <v>7</v>
      </c>
      <c r="C1977" t="s">
        <v>556</v>
      </c>
      <c r="D1977" t="s">
        <v>64</v>
      </c>
      <c r="E1977" t="s">
        <v>225</v>
      </c>
      <c r="F1977" t="s">
        <v>405</v>
      </c>
      <c r="G1977">
        <v>4084</v>
      </c>
    </row>
    <row r="1978" spans="1:7" x14ac:dyDescent="0.35">
      <c r="A1978">
        <v>2025</v>
      </c>
      <c r="B1978">
        <v>7</v>
      </c>
      <c r="C1978" t="s">
        <v>556</v>
      </c>
      <c r="D1978" t="s">
        <v>29</v>
      </c>
      <c r="E1978" t="s">
        <v>226</v>
      </c>
      <c r="F1978" t="s">
        <v>406</v>
      </c>
      <c r="G1978">
        <v>546</v>
      </c>
    </row>
    <row r="1979" spans="1:7" x14ac:dyDescent="0.35">
      <c r="A1979">
        <v>2025</v>
      </c>
      <c r="B1979">
        <v>7</v>
      </c>
      <c r="C1979" t="s">
        <v>556</v>
      </c>
      <c r="D1979" t="s">
        <v>102</v>
      </c>
      <c r="E1979" t="s">
        <v>227</v>
      </c>
      <c r="F1979" t="s">
        <v>407</v>
      </c>
      <c r="G1979">
        <v>39612</v>
      </c>
    </row>
    <row r="1980" spans="1:7" x14ac:dyDescent="0.35">
      <c r="A1980">
        <v>2025</v>
      </c>
      <c r="B1980">
        <v>7</v>
      </c>
      <c r="C1980" t="s">
        <v>556</v>
      </c>
      <c r="D1980" t="s">
        <v>25</v>
      </c>
      <c r="E1980" t="s">
        <v>228</v>
      </c>
      <c r="F1980" t="s">
        <v>408</v>
      </c>
      <c r="G1980">
        <v>6500</v>
      </c>
    </row>
    <row r="1981" spans="1:7" x14ac:dyDescent="0.35">
      <c r="A1981">
        <v>2025</v>
      </c>
      <c r="B1981">
        <v>7</v>
      </c>
      <c r="C1981" t="s">
        <v>556</v>
      </c>
      <c r="D1981" t="s">
        <v>25</v>
      </c>
      <c r="E1981" t="s">
        <v>274</v>
      </c>
      <c r="F1981" t="s">
        <v>454</v>
      </c>
      <c r="G1981">
        <v>79000</v>
      </c>
    </row>
    <row r="1982" spans="1:7" x14ac:dyDescent="0.35">
      <c r="A1982">
        <v>2025</v>
      </c>
      <c r="B1982">
        <v>7</v>
      </c>
      <c r="C1982" t="s">
        <v>556</v>
      </c>
      <c r="D1982" t="s">
        <v>229</v>
      </c>
      <c r="E1982" t="s">
        <v>230</v>
      </c>
      <c r="F1982" t="s">
        <v>409</v>
      </c>
      <c r="G1982">
        <v>788643</v>
      </c>
    </row>
    <row r="1983" spans="1:7" x14ac:dyDescent="0.35">
      <c r="A1983">
        <v>2025</v>
      </c>
      <c r="B1983">
        <v>7</v>
      </c>
      <c r="C1983" t="s">
        <v>556</v>
      </c>
      <c r="D1983" t="s">
        <v>13</v>
      </c>
      <c r="E1983" t="s">
        <v>232</v>
      </c>
      <c r="F1983" t="s">
        <v>411</v>
      </c>
      <c r="G1983">
        <v>563</v>
      </c>
    </row>
    <row r="1984" spans="1:7" x14ac:dyDescent="0.35">
      <c r="A1984">
        <v>2025</v>
      </c>
      <c r="B1984">
        <v>7</v>
      </c>
      <c r="C1984" t="s">
        <v>556</v>
      </c>
      <c r="D1984" t="s">
        <v>94</v>
      </c>
      <c r="E1984" t="s">
        <v>233</v>
      </c>
      <c r="F1984" t="s">
        <v>412</v>
      </c>
      <c r="G1984">
        <v>28000</v>
      </c>
    </row>
    <row r="1985" spans="1:7" x14ac:dyDescent="0.35">
      <c r="A1985">
        <v>2025</v>
      </c>
      <c r="B1985">
        <v>7</v>
      </c>
      <c r="C1985" t="s">
        <v>556</v>
      </c>
      <c r="D1985" t="s">
        <v>36</v>
      </c>
      <c r="E1985" t="s">
        <v>275</v>
      </c>
      <c r="F1985" t="s">
        <v>455</v>
      </c>
      <c r="G1985">
        <v>9306</v>
      </c>
    </row>
    <row r="1986" spans="1:7" x14ac:dyDescent="0.35">
      <c r="A1986">
        <v>2025</v>
      </c>
      <c r="B1986">
        <v>7</v>
      </c>
      <c r="C1986" t="s">
        <v>556</v>
      </c>
      <c r="D1986" t="s">
        <v>40</v>
      </c>
      <c r="E1986" t="s">
        <v>235</v>
      </c>
      <c r="F1986" t="s">
        <v>414</v>
      </c>
      <c r="G1986">
        <v>11220</v>
      </c>
    </row>
    <row r="1987" spans="1:7" x14ac:dyDescent="0.35">
      <c r="A1987">
        <v>2025</v>
      </c>
      <c r="B1987">
        <v>7</v>
      </c>
      <c r="C1987" t="s">
        <v>556</v>
      </c>
      <c r="D1987" t="s">
        <v>45</v>
      </c>
      <c r="E1987" t="s">
        <v>276</v>
      </c>
      <c r="F1987" t="s">
        <v>456</v>
      </c>
      <c r="G1987">
        <v>101576</v>
      </c>
    </row>
    <row r="1988" spans="1:7" x14ac:dyDescent="0.35">
      <c r="A1988">
        <v>2025</v>
      </c>
      <c r="B1988">
        <v>7</v>
      </c>
      <c r="C1988" t="s">
        <v>556</v>
      </c>
      <c r="D1988" t="s">
        <v>76</v>
      </c>
      <c r="E1988" t="s">
        <v>236</v>
      </c>
      <c r="F1988" t="s">
        <v>415</v>
      </c>
      <c r="G1988">
        <v>-900211</v>
      </c>
    </row>
    <row r="1989" spans="1:7" x14ac:dyDescent="0.35">
      <c r="A1989">
        <v>2025</v>
      </c>
      <c r="B1989">
        <v>7</v>
      </c>
      <c r="C1989" t="s">
        <v>556</v>
      </c>
      <c r="D1989" t="s">
        <v>76</v>
      </c>
      <c r="E1989" t="s">
        <v>237</v>
      </c>
      <c r="F1989" t="s">
        <v>416</v>
      </c>
      <c r="G1989">
        <v>141962.21</v>
      </c>
    </row>
    <row r="1990" spans="1:7" x14ac:dyDescent="0.35">
      <c r="A1990">
        <v>2025</v>
      </c>
      <c r="B1990">
        <v>7</v>
      </c>
      <c r="C1990" t="s">
        <v>556</v>
      </c>
      <c r="D1990" t="s">
        <v>76</v>
      </c>
      <c r="E1990" t="s">
        <v>238</v>
      </c>
      <c r="F1990" t="s">
        <v>417</v>
      </c>
      <c r="G1990">
        <v>534455.82999999996</v>
      </c>
    </row>
    <row r="1991" spans="1:7" x14ac:dyDescent="0.35">
      <c r="A1991">
        <v>2025</v>
      </c>
      <c r="B1991">
        <v>7</v>
      </c>
      <c r="C1991" t="s">
        <v>556</v>
      </c>
      <c r="D1991" t="s">
        <v>76</v>
      </c>
      <c r="E1991" t="s">
        <v>239</v>
      </c>
      <c r="F1991" t="s">
        <v>418</v>
      </c>
      <c r="G1991">
        <v>-4080657.39</v>
      </c>
    </row>
    <row r="1992" spans="1:7" x14ac:dyDescent="0.35">
      <c r="A1992">
        <v>2025</v>
      </c>
      <c r="B1992">
        <v>7</v>
      </c>
      <c r="C1992" t="s">
        <v>556</v>
      </c>
      <c r="D1992" t="s">
        <v>35</v>
      </c>
      <c r="E1992" t="s">
        <v>240</v>
      </c>
      <c r="F1992" t="s">
        <v>419</v>
      </c>
      <c r="G1992">
        <v>239940.79</v>
      </c>
    </row>
    <row r="1993" spans="1:7" x14ac:dyDescent="0.35">
      <c r="A1993">
        <v>2025</v>
      </c>
      <c r="B1993">
        <v>7</v>
      </c>
      <c r="C1993" t="s">
        <v>556</v>
      </c>
      <c r="D1993" t="s">
        <v>103</v>
      </c>
      <c r="E1993" t="s">
        <v>242</v>
      </c>
      <c r="F1993" t="s">
        <v>421</v>
      </c>
      <c r="G1993">
        <v>534456</v>
      </c>
    </row>
    <row r="1994" spans="1:7" x14ac:dyDescent="0.35">
      <c r="A1994">
        <v>2025</v>
      </c>
      <c r="B1994">
        <v>7</v>
      </c>
      <c r="C1994" t="s">
        <v>556</v>
      </c>
      <c r="D1994" t="s">
        <v>104</v>
      </c>
      <c r="E1994" t="s">
        <v>243</v>
      </c>
      <c r="F1994" t="s">
        <v>422</v>
      </c>
      <c r="G1994">
        <v>-4080657</v>
      </c>
    </row>
    <row r="1995" spans="1:7" x14ac:dyDescent="0.35">
      <c r="A1995">
        <v>2025</v>
      </c>
      <c r="B1995">
        <v>7</v>
      </c>
      <c r="C1995" t="s">
        <v>556</v>
      </c>
      <c r="D1995" t="s">
        <v>244</v>
      </c>
      <c r="E1995" t="s">
        <v>245</v>
      </c>
      <c r="F1995" t="s">
        <v>423</v>
      </c>
      <c r="G1995">
        <v>989250</v>
      </c>
    </row>
    <row r="1996" spans="1:7" x14ac:dyDescent="0.35">
      <c r="A1996">
        <v>2025</v>
      </c>
      <c r="B1996">
        <v>7</v>
      </c>
      <c r="C1996" t="s">
        <v>556</v>
      </c>
      <c r="D1996" t="s">
        <v>14</v>
      </c>
      <c r="E1996" t="s">
        <v>131</v>
      </c>
      <c r="F1996" t="s">
        <v>425</v>
      </c>
      <c r="G1996">
        <v>123179</v>
      </c>
    </row>
    <row r="1997" spans="1:7" x14ac:dyDescent="0.35">
      <c r="A1997">
        <v>2025</v>
      </c>
      <c r="B1997">
        <v>7</v>
      </c>
      <c r="C1997" t="s">
        <v>556</v>
      </c>
      <c r="D1997" t="s">
        <v>30</v>
      </c>
      <c r="E1997" t="s">
        <v>247</v>
      </c>
      <c r="F1997" t="s">
        <v>426</v>
      </c>
      <c r="G1997">
        <v>8791</v>
      </c>
    </row>
    <row r="1998" spans="1:7" x14ac:dyDescent="0.35">
      <c r="A1998">
        <v>2025</v>
      </c>
      <c r="B1998">
        <v>7</v>
      </c>
      <c r="C1998" t="s">
        <v>556</v>
      </c>
      <c r="D1998" t="s">
        <v>15</v>
      </c>
      <c r="E1998" t="s">
        <v>248</v>
      </c>
      <c r="F1998" t="s">
        <v>427</v>
      </c>
      <c r="G1998">
        <v>6202</v>
      </c>
    </row>
    <row r="1999" spans="1:7" x14ac:dyDescent="0.35">
      <c r="A1999">
        <v>2025</v>
      </c>
      <c r="B1999">
        <v>7</v>
      </c>
      <c r="C1999" t="s">
        <v>556</v>
      </c>
      <c r="D1999" t="s">
        <v>90</v>
      </c>
      <c r="E1999" t="s">
        <v>277</v>
      </c>
      <c r="F1999" t="s">
        <v>457</v>
      </c>
      <c r="G1999">
        <v>160000</v>
      </c>
    </row>
    <row r="2000" spans="1:7" x14ac:dyDescent="0.35">
      <c r="A2000">
        <v>2025</v>
      </c>
      <c r="B2000">
        <v>7</v>
      </c>
      <c r="C2000" t="s">
        <v>556</v>
      </c>
      <c r="D2000" t="s">
        <v>84</v>
      </c>
      <c r="E2000" t="s">
        <v>250</v>
      </c>
      <c r="F2000" t="s">
        <v>429</v>
      </c>
      <c r="G2000">
        <v>1362559.56</v>
      </c>
    </row>
    <row r="2001" spans="1:7" x14ac:dyDescent="0.35">
      <c r="A2001">
        <v>2025</v>
      </c>
      <c r="B2001">
        <v>7</v>
      </c>
      <c r="C2001" t="s">
        <v>556</v>
      </c>
      <c r="D2001" t="s">
        <v>81</v>
      </c>
      <c r="E2001" t="s">
        <v>251</v>
      </c>
      <c r="F2001" t="s">
        <v>430</v>
      </c>
      <c r="G2001">
        <v>21330501.600000001</v>
      </c>
    </row>
    <row r="2002" spans="1:7" x14ac:dyDescent="0.35">
      <c r="A2002">
        <v>2025</v>
      </c>
      <c r="B2002">
        <v>7</v>
      </c>
      <c r="C2002" t="s">
        <v>556</v>
      </c>
      <c r="D2002" t="s">
        <v>81</v>
      </c>
      <c r="E2002" t="s">
        <v>252</v>
      </c>
      <c r="F2002" t="s">
        <v>431</v>
      </c>
      <c r="G2002">
        <v>10443500</v>
      </c>
    </row>
    <row r="2003" spans="1:7" x14ac:dyDescent="0.35">
      <c r="A2003">
        <v>2025</v>
      </c>
      <c r="B2003">
        <v>7</v>
      </c>
      <c r="C2003" t="s">
        <v>556</v>
      </c>
      <c r="D2003" t="s">
        <v>44</v>
      </c>
      <c r="E2003" t="s">
        <v>253</v>
      </c>
      <c r="F2003" t="s">
        <v>432</v>
      </c>
      <c r="G2003">
        <v>112610</v>
      </c>
    </row>
    <row r="2004" spans="1:7" x14ac:dyDescent="0.35">
      <c r="A2004">
        <v>2025</v>
      </c>
      <c r="B2004">
        <v>7</v>
      </c>
      <c r="C2004" t="s">
        <v>556</v>
      </c>
      <c r="D2004" t="s">
        <v>16</v>
      </c>
      <c r="E2004" t="s">
        <v>254</v>
      </c>
      <c r="F2004" t="s">
        <v>433</v>
      </c>
      <c r="G2004">
        <v>28912</v>
      </c>
    </row>
    <row r="2005" spans="1:7" x14ac:dyDescent="0.35">
      <c r="A2005">
        <v>2025</v>
      </c>
      <c r="B2005">
        <v>7</v>
      </c>
      <c r="C2005" t="s">
        <v>556</v>
      </c>
      <c r="D2005" t="s">
        <v>37</v>
      </c>
      <c r="E2005" t="s">
        <v>256</v>
      </c>
      <c r="F2005" t="s">
        <v>435</v>
      </c>
      <c r="G2005">
        <v>-79370.45</v>
      </c>
    </row>
    <row r="2006" spans="1:7" x14ac:dyDescent="0.35">
      <c r="A2006">
        <v>2025</v>
      </c>
      <c r="B2006">
        <v>7</v>
      </c>
      <c r="C2006" t="s">
        <v>556</v>
      </c>
      <c r="D2006" t="s">
        <v>37</v>
      </c>
      <c r="E2006" t="s">
        <v>257</v>
      </c>
      <c r="F2006" t="s">
        <v>436</v>
      </c>
      <c r="G2006">
        <v>-5177352.28</v>
      </c>
    </row>
    <row r="2007" spans="1:7" x14ac:dyDescent="0.35">
      <c r="A2007">
        <v>2025</v>
      </c>
      <c r="B2007">
        <v>7</v>
      </c>
      <c r="C2007" t="s">
        <v>556</v>
      </c>
      <c r="D2007" t="s">
        <v>18</v>
      </c>
      <c r="E2007" t="s">
        <v>259</v>
      </c>
      <c r="F2007" t="s">
        <v>438</v>
      </c>
      <c r="G2007">
        <v>10215</v>
      </c>
    </row>
    <row r="2008" spans="1:7" x14ac:dyDescent="0.35">
      <c r="A2008">
        <v>2025</v>
      </c>
      <c r="B2008">
        <v>8</v>
      </c>
      <c r="C2008" t="s">
        <v>557</v>
      </c>
      <c r="E2008" t="s">
        <v>291</v>
      </c>
      <c r="F2008" t="s">
        <v>474</v>
      </c>
      <c r="G2008">
        <v>14612</v>
      </c>
    </row>
    <row r="2009" spans="1:7" x14ac:dyDescent="0.35">
      <c r="A2009">
        <v>2025</v>
      </c>
      <c r="B2009">
        <v>8</v>
      </c>
      <c r="C2009" t="s">
        <v>557</v>
      </c>
      <c r="E2009" t="s">
        <v>528</v>
      </c>
      <c r="F2009" t="s">
        <v>529</v>
      </c>
      <c r="G2009">
        <v>12469</v>
      </c>
    </row>
    <row r="2010" spans="1:7" x14ac:dyDescent="0.35">
      <c r="A2010">
        <v>2025</v>
      </c>
      <c r="B2010">
        <v>8</v>
      </c>
      <c r="C2010" t="s">
        <v>557</v>
      </c>
      <c r="E2010" t="s">
        <v>293</v>
      </c>
      <c r="F2010" t="s">
        <v>477</v>
      </c>
      <c r="G2010">
        <v>372</v>
      </c>
    </row>
    <row r="2011" spans="1:7" x14ac:dyDescent="0.35">
      <c r="A2011">
        <v>2025</v>
      </c>
      <c r="B2011">
        <v>8</v>
      </c>
      <c r="C2011" t="s">
        <v>557</v>
      </c>
      <c r="D2011" t="s">
        <v>59</v>
      </c>
      <c r="E2011" t="s">
        <v>133</v>
      </c>
      <c r="F2011" t="s">
        <v>313</v>
      </c>
      <c r="G2011">
        <v>22762</v>
      </c>
    </row>
    <row r="2012" spans="1:7" x14ac:dyDescent="0.35">
      <c r="A2012">
        <v>2025</v>
      </c>
      <c r="B2012">
        <v>8</v>
      </c>
      <c r="C2012" t="s">
        <v>557</v>
      </c>
      <c r="D2012" t="s">
        <v>71</v>
      </c>
      <c r="E2012" t="s">
        <v>558</v>
      </c>
      <c r="F2012" t="s">
        <v>559</v>
      </c>
      <c r="G2012">
        <v>1125</v>
      </c>
    </row>
    <row r="2013" spans="1:7" x14ac:dyDescent="0.35">
      <c r="A2013">
        <v>2025</v>
      </c>
      <c r="B2013">
        <v>8</v>
      </c>
      <c r="C2013" t="s">
        <v>557</v>
      </c>
      <c r="D2013" t="s">
        <v>38</v>
      </c>
      <c r="E2013" t="s">
        <v>122</v>
      </c>
      <c r="F2013" t="s">
        <v>314</v>
      </c>
      <c r="G2013">
        <v>18945</v>
      </c>
    </row>
    <row r="2014" spans="1:7" x14ac:dyDescent="0.35">
      <c r="A2014">
        <v>2025</v>
      </c>
      <c r="B2014">
        <v>8</v>
      </c>
      <c r="C2014" t="s">
        <v>557</v>
      </c>
      <c r="D2014" t="s">
        <v>6</v>
      </c>
      <c r="E2014" t="s">
        <v>135</v>
      </c>
      <c r="F2014" t="s">
        <v>316</v>
      </c>
      <c r="G2014">
        <v>18180</v>
      </c>
    </row>
    <row r="2015" spans="1:7" x14ac:dyDescent="0.35">
      <c r="A2015">
        <v>2025</v>
      </c>
      <c r="B2015">
        <v>8</v>
      </c>
      <c r="C2015" t="s">
        <v>557</v>
      </c>
      <c r="D2015" t="s">
        <v>6</v>
      </c>
      <c r="E2015" t="s">
        <v>136</v>
      </c>
      <c r="F2015" t="s">
        <v>317</v>
      </c>
      <c r="G2015">
        <v>24783</v>
      </c>
    </row>
    <row r="2016" spans="1:7" x14ac:dyDescent="0.35">
      <c r="A2016">
        <v>2025</v>
      </c>
      <c r="B2016">
        <v>8</v>
      </c>
      <c r="C2016" t="s">
        <v>557</v>
      </c>
      <c r="D2016" t="s">
        <v>6</v>
      </c>
      <c r="E2016" t="s">
        <v>137</v>
      </c>
      <c r="F2016" t="s">
        <v>318</v>
      </c>
      <c r="G2016">
        <v>21699</v>
      </c>
    </row>
    <row r="2017" spans="1:7" x14ac:dyDescent="0.35">
      <c r="A2017">
        <v>2025</v>
      </c>
      <c r="B2017">
        <v>8</v>
      </c>
      <c r="C2017" t="s">
        <v>557</v>
      </c>
      <c r="D2017" t="s">
        <v>62</v>
      </c>
      <c r="E2017" t="s">
        <v>288</v>
      </c>
      <c r="F2017" t="s">
        <v>470</v>
      </c>
      <c r="G2017">
        <v>700</v>
      </c>
    </row>
    <row r="2018" spans="1:7" x14ac:dyDescent="0.35">
      <c r="A2018">
        <v>2025</v>
      </c>
      <c r="B2018">
        <v>8</v>
      </c>
      <c r="C2018" t="s">
        <v>557</v>
      </c>
      <c r="D2018" t="s">
        <v>31</v>
      </c>
      <c r="E2018" t="s">
        <v>143</v>
      </c>
      <c r="F2018" t="s">
        <v>324</v>
      </c>
      <c r="G2018">
        <v>101988</v>
      </c>
    </row>
    <row r="2019" spans="1:7" x14ac:dyDescent="0.35">
      <c r="A2019">
        <v>2025</v>
      </c>
      <c r="B2019">
        <v>8</v>
      </c>
      <c r="C2019" t="s">
        <v>557</v>
      </c>
      <c r="D2019" t="s">
        <v>26</v>
      </c>
      <c r="E2019" t="s">
        <v>144</v>
      </c>
      <c r="F2019" t="s">
        <v>325</v>
      </c>
      <c r="G2019">
        <v>10356</v>
      </c>
    </row>
    <row r="2020" spans="1:7" x14ac:dyDescent="0.35">
      <c r="A2020">
        <v>2025</v>
      </c>
      <c r="B2020">
        <v>8</v>
      </c>
      <c r="C2020" t="s">
        <v>557</v>
      </c>
      <c r="D2020" t="s">
        <v>41</v>
      </c>
      <c r="E2020" t="s">
        <v>145</v>
      </c>
      <c r="F2020" t="s">
        <v>326</v>
      </c>
      <c r="G2020">
        <v>34048</v>
      </c>
    </row>
    <row r="2021" spans="1:7" x14ac:dyDescent="0.35">
      <c r="A2021">
        <v>2025</v>
      </c>
      <c r="B2021">
        <v>8</v>
      </c>
      <c r="C2021" t="s">
        <v>557</v>
      </c>
      <c r="D2021" t="s">
        <v>67</v>
      </c>
      <c r="E2021" t="s">
        <v>148</v>
      </c>
      <c r="F2021" t="s">
        <v>329</v>
      </c>
      <c r="G2021">
        <v>5683</v>
      </c>
    </row>
    <row r="2022" spans="1:7" x14ac:dyDescent="0.35">
      <c r="A2022">
        <v>2025</v>
      </c>
      <c r="B2022">
        <v>8</v>
      </c>
      <c r="C2022" t="s">
        <v>557</v>
      </c>
      <c r="D2022" t="s">
        <v>67</v>
      </c>
      <c r="E2022" t="s">
        <v>149</v>
      </c>
      <c r="F2022" t="s">
        <v>330</v>
      </c>
      <c r="G2022">
        <v>4336</v>
      </c>
    </row>
    <row r="2023" spans="1:7" x14ac:dyDescent="0.35">
      <c r="A2023">
        <v>2025</v>
      </c>
      <c r="B2023">
        <v>8</v>
      </c>
      <c r="C2023" t="s">
        <v>557</v>
      </c>
      <c r="D2023" t="s">
        <v>67</v>
      </c>
      <c r="E2023" t="s">
        <v>150</v>
      </c>
      <c r="F2023" t="s">
        <v>331</v>
      </c>
      <c r="G2023">
        <v>81365</v>
      </c>
    </row>
    <row r="2024" spans="1:7" x14ac:dyDescent="0.35">
      <c r="A2024">
        <v>2025</v>
      </c>
      <c r="B2024">
        <v>8</v>
      </c>
      <c r="C2024" t="s">
        <v>557</v>
      </c>
      <c r="D2024" t="s">
        <v>67</v>
      </c>
      <c r="E2024" t="s">
        <v>151</v>
      </c>
      <c r="F2024" t="s">
        <v>332</v>
      </c>
      <c r="G2024">
        <v>26789</v>
      </c>
    </row>
    <row r="2025" spans="1:7" x14ac:dyDescent="0.35">
      <c r="A2025">
        <v>2025</v>
      </c>
      <c r="B2025">
        <v>8</v>
      </c>
      <c r="C2025" t="s">
        <v>557</v>
      </c>
      <c r="D2025" t="s">
        <v>67</v>
      </c>
      <c r="E2025" t="s">
        <v>152</v>
      </c>
      <c r="F2025" t="s">
        <v>333</v>
      </c>
      <c r="G2025">
        <v>7824</v>
      </c>
    </row>
    <row r="2026" spans="1:7" x14ac:dyDescent="0.35">
      <c r="A2026">
        <v>2025</v>
      </c>
      <c r="B2026">
        <v>8</v>
      </c>
      <c r="C2026" t="s">
        <v>557</v>
      </c>
      <c r="D2026" t="s">
        <v>93</v>
      </c>
      <c r="E2026" t="s">
        <v>153</v>
      </c>
      <c r="F2026" t="s">
        <v>334</v>
      </c>
      <c r="G2026">
        <v>70523.73</v>
      </c>
    </row>
    <row r="2027" spans="1:7" x14ac:dyDescent="0.35">
      <c r="A2027">
        <v>2025</v>
      </c>
      <c r="B2027">
        <v>8</v>
      </c>
      <c r="C2027" t="s">
        <v>557</v>
      </c>
      <c r="D2027" t="s">
        <v>93</v>
      </c>
      <c r="E2027" t="s">
        <v>154</v>
      </c>
      <c r="F2027" t="s">
        <v>335</v>
      </c>
      <c r="G2027">
        <v>51677.08</v>
      </c>
    </row>
    <row r="2028" spans="1:7" x14ac:dyDescent="0.35">
      <c r="A2028">
        <v>2025</v>
      </c>
      <c r="B2028">
        <v>8</v>
      </c>
      <c r="C2028" t="s">
        <v>557</v>
      </c>
      <c r="D2028" t="s">
        <v>89</v>
      </c>
      <c r="E2028" t="s">
        <v>155</v>
      </c>
      <c r="F2028" t="s">
        <v>336</v>
      </c>
      <c r="G2028">
        <v>-100344.46</v>
      </c>
    </row>
    <row r="2029" spans="1:7" x14ac:dyDescent="0.35">
      <c r="A2029">
        <v>2025</v>
      </c>
      <c r="B2029">
        <v>8</v>
      </c>
      <c r="C2029" t="s">
        <v>557</v>
      </c>
      <c r="D2029" t="s">
        <v>89</v>
      </c>
      <c r="E2029" t="s">
        <v>156</v>
      </c>
      <c r="F2029" t="s">
        <v>337</v>
      </c>
      <c r="G2029">
        <v>484077.87</v>
      </c>
    </row>
    <row r="2030" spans="1:7" x14ac:dyDescent="0.35">
      <c r="A2030">
        <v>2025</v>
      </c>
      <c r="B2030">
        <v>8</v>
      </c>
      <c r="C2030" t="s">
        <v>557</v>
      </c>
      <c r="D2030" t="s">
        <v>61</v>
      </c>
      <c r="E2030" t="s">
        <v>262</v>
      </c>
      <c r="F2030" t="s">
        <v>442</v>
      </c>
      <c r="G2030">
        <v>5770</v>
      </c>
    </row>
    <row r="2031" spans="1:7" x14ac:dyDescent="0.35">
      <c r="A2031">
        <v>2025</v>
      </c>
      <c r="B2031">
        <v>8</v>
      </c>
      <c r="C2031" t="s">
        <v>557</v>
      </c>
      <c r="D2031" t="s">
        <v>8</v>
      </c>
      <c r="E2031" t="s">
        <v>157</v>
      </c>
      <c r="F2031" t="s">
        <v>338</v>
      </c>
      <c r="G2031">
        <v>206</v>
      </c>
    </row>
    <row r="2032" spans="1:7" x14ac:dyDescent="0.35">
      <c r="A2032">
        <v>2025</v>
      </c>
      <c r="B2032">
        <v>8</v>
      </c>
      <c r="C2032" t="s">
        <v>557</v>
      </c>
      <c r="D2032" t="s">
        <v>20</v>
      </c>
      <c r="E2032" t="s">
        <v>158</v>
      </c>
      <c r="F2032" t="s">
        <v>339</v>
      </c>
      <c r="G2032">
        <v>1603537</v>
      </c>
    </row>
    <row r="2033" spans="1:7" x14ac:dyDescent="0.35">
      <c r="A2033">
        <v>2025</v>
      </c>
      <c r="B2033">
        <v>8</v>
      </c>
      <c r="C2033" t="s">
        <v>557</v>
      </c>
      <c r="D2033" t="s">
        <v>21</v>
      </c>
      <c r="E2033" t="s">
        <v>159</v>
      </c>
      <c r="F2033" t="s">
        <v>340</v>
      </c>
      <c r="G2033">
        <v>131370</v>
      </c>
    </row>
    <row r="2034" spans="1:7" x14ac:dyDescent="0.35">
      <c r="A2034">
        <v>2025</v>
      </c>
      <c r="B2034">
        <v>8</v>
      </c>
      <c r="C2034" t="s">
        <v>557</v>
      </c>
      <c r="D2034" t="s">
        <v>160</v>
      </c>
      <c r="E2034" t="s">
        <v>161</v>
      </c>
      <c r="F2034" t="s">
        <v>341</v>
      </c>
      <c r="G2034">
        <v>17700</v>
      </c>
    </row>
    <row r="2035" spans="1:7" x14ac:dyDescent="0.35">
      <c r="A2035">
        <v>2025</v>
      </c>
      <c r="B2035">
        <v>8</v>
      </c>
      <c r="C2035" t="s">
        <v>557</v>
      </c>
      <c r="D2035" t="s">
        <v>32</v>
      </c>
      <c r="E2035" t="s">
        <v>162</v>
      </c>
      <c r="F2035" t="s">
        <v>342</v>
      </c>
      <c r="G2035">
        <v>1231</v>
      </c>
    </row>
    <row r="2036" spans="1:7" x14ac:dyDescent="0.35">
      <c r="A2036">
        <v>2025</v>
      </c>
      <c r="B2036">
        <v>8</v>
      </c>
      <c r="C2036" t="s">
        <v>557</v>
      </c>
      <c r="D2036" t="s">
        <v>22</v>
      </c>
      <c r="E2036" t="s">
        <v>165</v>
      </c>
      <c r="F2036" t="s">
        <v>344</v>
      </c>
      <c r="G2036">
        <v>1684</v>
      </c>
    </row>
    <row r="2037" spans="1:7" x14ac:dyDescent="0.35">
      <c r="A2037">
        <v>2025</v>
      </c>
      <c r="B2037">
        <v>8</v>
      </c>
      <c r="C2037" t="s">
        <v>557</v>
      </c>
      <c r="D2037" t="s">
        <v>27</v>
      </c>
      <c r="E2037" t="s">
        <v>166</v>
      </c>
      <c r="F2037" t="s">
        <v>345</v>
      </c>
      <c r="G2037">
        <v>28000</v>
      </c>
    </row>
    <row r="2038" spans="1:7" x14ac:dyDescent="0.35">
      <c r="A2038">
        <v>2025</v>
      </c>
      <c r="B2038">
        <v>8</v>
      </c>
      <c r="C2038" t="s">
        <v>557</v>
      </c>
      <c r="D2038" t="s">
        <v>167</v>
      </c>
      <c r="E2038" t="s">
        <v>167</v>
      </c>
      <c r="F2038" t="s">
        <v>346</v>
      </c>
      <c r="G2038">
        <v>-2806769</v>
      </c>
    </row>
    <row r="2039" spans="1:7" x14ac:dyDescent="0.35">
      <c r="A2039">
        <v>2025</v>
      </c>
      <c r="B2039">
        <v>8</v>
      </c>
      <c r="C2039" t="s">
        <v>557</v>
      </c>
      <c r="D2039" t="s">
        <v>9</v>
      </c>
      <c r="E2039" t="s">
        <v>168</v>
      </c>
      <c r="F2039" t="s">
        <v>347</v>
      </c>
      <c r="G2039">
        <v>13450</v>
      </c>
    </row>
    <row r="2040" spans="1:7" x14ac:dyDescent="0.35">
      <c r="A2040">
        <v>2025</v>
      </c>
      <c r="B2040">
        <v>8</v>
      </c>
      <c r="C2040" t="s">
        <v>557</v>
      </c>
      <c r="D2040" t="s">
        <v>9</v>
      </c>
      <c r="E2040" t="s">
        <v>169</v>
      </c>
      <c r="F2040" t="s">
        <v>348</v>
      </c>
      <c r="G2040">
        <v>8860</v>
      </c>
    </row>
    <row r="2041" spans="1:7" x14ac:dyDescent="0.35">
      <c r="A2041">
        <v>2025</v>
      </c>
      <c r="B2041">
        <v>8</v>
      </c>
      <c r="C2041" t="s">
        <v>557</v>
      </c>
      <c r="D2041" t="s">
        <v>72</v>
      </c>
      <c r="E2041" t="s">
        <v>170</v>
      </c>
      <c r="F2041" t="s">
        <v>349</v>
      </c>
      <c r="G2041">
        <v>166324</v>
      </c>
    </row>
    <row r="2042" spans="1:7" x14ac:dyDescent="0.35">
      <c r="A2042">
        <v>2025</v>
      </c>
      <c r="B2042">
        <v>8</v>
      </c>
      <c r="C2042" t="s">
        <v>557</v>
      </c>
      <c r="D2042" t="s">
        <v>39</v>
      </c>
      <c r="E2042" t="s">
        <v>171</v>
      </c>
      <c r="F2042" t="s">
        <v>350</v>
      </c>
      <c r="G2042">
        <v>2184</v>
      </c>
    </row>
    <row r="2043" spans="1:7" x14ac:dyDescent="0.35">
      <c r="A2043">
        <v>2025</v>
      </c>
      <c r="B2043">
        <v>8</v>
      </c>
      <c r="C2043" t="s">
        <v>557</v>
      </c>
      <c r="D2043" t="s">
        <v>10</v>
      </c>
      <c r="E2043" t="s">
        <v>172</v>
      </c>
      <c r="F2043" t="s">
        <v>351</v>
      </c>
      <c r="G2043">
        <v>1317</v>
      </c>
    </row>
    <row r="2044" spans="1:7" x14ac:dyDescent="0.35">
      <c r="A2044">
        <v>2025</v>
      </c>
      <c r="B2044">
        <v>8</v>
      </c>
      <c r="C2044" t="s">
        <v>557</v>
      </c>
      <c r="D2044" t="s">
        <v>66</v>
      </c>
      <c r="E2044" t="s">
        <v>173</v>
      </c>
      <c r="F2044" t="s">
        <v>352</v>
      </c>
      <c r="G2044">
        <v>420051</v>
      </c>
    </row>
    <row r="2045" spans="1:7" x14ac:dyDescent="0.35">
      <c r="A2045">
        <v>2025</v>
      </c>
      <c r="B2045">
        <v>8</v>
      </c>
      <c r="C2045" t="s">
        <v>557</v>
      </c>
      <c r="D2045" t="s">
        <v>66</v>
      </c>
      <c r="E2045" t="s">
        <v>174</v>
      </c>
      <c r="F2045" t="s">
        <v>353</v>
      </c>
      <c r="G2045">
        <v>73850</v>
      </c>
    </row>
    <row r="2046" spans="1:7" x14ac:dyDescent="0.35">
      <c r="A2046">
        <v>2025</v>
      </c>
      <c r="B2046">
        <v>8</v>
      </c>
      <c r="C2046" t="s">
        <v>557</v>
      </c>
      <c r="D2046" t="s">
        <v>66</v>
      </c>
      <c r="E2046" t="s">
        <v>175</v>
      </c>
      <c r="F2046" t="s">
        <v>354</v>
      </c>
      <c r="G2046">
        <v>483</v>
      </c>
    </row>
    <row r="2047" spans="1:7" x14ac:dyDescent="0.35">
      <c r="A2047">
        <v>2025</v>
      </c>
      <c r="B2047">
        <v>8</v>
      </c>
      <c r="C2047" t="s">
        <v>557</v>
      </c>
      <c r="D2047" t="s">
        <v>66</v>
      </c>
      <c r="E2047" t="s">
        <v>176</v>
      </c>
      <c r="F2047" t="s">
        <v>355</v>
      </c>
      <c r="G2047">
        <v>43554</v>
      </c>
    </row>
    <row r="2048" spans="1:7" x14ac:dyDescent="0.35">
      <c r="A2048">
        <v>2025</v>
      </c>
      <c r="B2048">
        <v>8</v>
      </c>
      <c r="C2048" t="s">
        <v>557</v>
      </c>
      <c r="D2048" t="s">
        <v>66</v>
      </c>
      <c r="E2048" t="s">
        <v>177</v>
      </c>
      <c r="F2048" t="s">
        <v>356</v>
      </c>
      <c r="G2048">
        <v>40239</v>
      </c>
    </row>
    <row r="2049" spans="1:7" x14ac:dyDescent="0.35">
      <c r="A2049">
        <v>2025</v>
      </c>
      <c r="B2049">
        <v>8</v>
      </c>
      <c r="C2049" t="s">
        <v>557</v>
      </c>
      <c r="D2049" t="s">
        <v>11</v>
      </c>
      <c r="E2049" t="s">
        <v>179</v>
      </c>
      <c r="F2049" t="s">
        <v>180</v>
      </c>
      <c r="G2049">
        <v>21639</v>
      </c>
    </row>
    <row r="2050" spans="1:7" x14ac:dyDescent="0.35">
      <c r="A2050">
        <v>2025</v>
      </c>
      <c r="B2050">
        <v>8</v>
      </c>
      <c r="C2050" t="s">
        <v>557</v>
      </c>
      <c r="D2050" t="s">
        <v>11</v>
      </c>
      <c r="E2050" t="s">
        <v>292</v>
      </c>
      <c r="F2050" t="s">
        <v>475</v>
      </c>
      <c r="G2050">
        <v>2268</v>
      </c>
    </row>
    <row r="2051" spans="1:7" x14ac:dyDescent="0.35">
      <c r="A2051">
        <v>2025</v>
      </c>
      <c r="B2051">
        <v>8</v>
      </c>
      <c r="C2051" t="s">
        <v>557</v>
      </c>
      <c r="D2051" t="s">
        <v>74</v>
      </c>
      <c r="E2051" t="s">
        <v>205</v>
      </c>
      <c r="F2051" t="s">
        <v>384</v>
      </c>
      <c r="G2051">
        <v>826</v>
      </c>
    </row>
    <row r="2052" spans="1:7" x14ac:dyDescent="0.35">
      <c r="A2052">
        <v>2025</v>
      </c>
      <c r="B2052">
        <v>8</v>
      </c>
      <c r="C2052" t="s">
        <v>557</v>
      </c>
      <c r="D2052" t="s">
        <v>74</v>
      </c>
      <c r="E2052" t="s">
        <v>186</v>
      </c>
      <c r="F2052" t="s">
        <v>364</v>
      </c>
      <c r="G2052">
        <v>1810</v>
      </c>
    </row>
    <row r="2053" spans="1:7" x14ac:dyDescent="0.35">
      <c r="A2053">
        <v>2025</v>
      </c>
      <c r="B2053">
        <v>8</v>
      </c>
      <c r="C2053" t="s">
        <v>557</v>
      </c>
      <c r="D2053" t="s">
        <v>74</v>
      </c>
      <c r="E2053" t="s">
        <v>269</v>
      </c>
      <c r="F2053" t="s">
        <v>449</v>
      </c>
      <c r="G2053">
        <v>14318</v>
      </c>
    </row>
    <row r="2054" spans="1:7" x14ac:dyDescent="0.35">
      <c r="A2054">
        <v>2025</v>
      </c>
      <c r="B2054">
        <v>8</v>
      </c>
      <c r="C2054" t="s">
        <v>557</v>
      </c>
      <c r="D2054" t="s">
        <v>74</v>
      </c>
      <c r="E2054" t="s">
        <v>270</v>
      </c>
      <c r="F2054" t="s">
        <v>450</v>
      </c>
      <c r="G2054">
        <v>1764</v>
      </c>
    </row>
    <row r="2055" spans="1:7" x14ac:dyDescent="0.35">
      <c r="A2055">
        <v>2025</v>
      </c>
      <c r="B2055">
        <v>8</v>
      </c>
      <c r="C2055" t="s">
        <v>557</v>
      </c>
      <c r="D2055" t="s">
        <v>74</v>
      </c>
      <c r="E2055" t="s">
        <v>271</v>
      </c>
      <c r="F2055" t="s">
        <v>451</v>
      </c>
      <c r="G2055">
        <v>38883</v>
      </c>
    </row>
    <row r="2056" spans="1:7" x14ac:dyDescent="0.35">
      <c r="A2056">
        <v>2025</v>
      </c>
      <c r="B2056">
        <v>8</v>
      </c>
      <c r="C2056" t="s">
        <v>557</v>
      </c>
      <c r="D2056" t="s">
        <v>74</v>
      </c>
      <c r="E2056" t="s">
        <v>283</v>
      </c>
      <c r="F2056" t="s">
        <v>463</v>
      </c>
      <c r="G2056">
        <v>227</v>
      </c>
    </row>
    <row r="2057" spans="1:7" x14ac:dyDescent="0.35">
      <c r="A2057">
        <v>2025</v>
      </c>
      <c r="B2057">
        <v>8</v>
      </c>
      <c r="C2057" t="s">
        <v>557</v>
      </c>
      <c r="D2057" t="s">
        <v>85</v>
      </c>
      <c r="E2057" t="s">
        <v>188</v>
      </c>
      <c r="F2057" t="s">
        <v>366</v>
      </c>
      <c r="G2057">
        <v>698118.7</v>
      </c>
    </row>
    <row r="2058" spans="1:7" x14ac:dyDescent="0.35">
      <c r="A2058">
        <v>2025</v>
      </c>
      <c r="B2058">
        <v>8</v>
      </c>
      <c r="C2058" t="s">
        <v>557</v>
      </c>
      <c r="D2058" t="s">
        <v>106</v>
      </c>
      <c r="E2058" t="s">
        <v>189</v>
      </c>
      <c r="F2058" t="s">
        <v>367</v>
      </c>
      <c r="G2058">
        <v>3636655</v>
      </c>
    </row>
    <row r="2059" spans="1:7" x14ac:dyDescent="0.35">
      <c r="A2059">
        <v>2025</v>
      </c>
      <c r="B2059">
        <v>8</v>
      </c>
      <c r="C2059" t="s">
        <v>557</v>
      </c>
      <c r="D2059" t="s">
        <v>106</v>
      </c>
      <c r="E2059" t="s">
        <v>190</v>
      </c>
      <c r="F2059" t="s">
        <v>368</v>
      </c>
      <c r="G2059">
        <v>111316</v>
      </c>
    </row>
    <row r="2060" spans="1:7" x14ac:dyDescent="0.35">
      <c r="A2060">
        <v>2025</v>
      </c>
      <c r="B2060">
        <v>8</v>
      </c>
      <c r="C2060" t="s">
        <v>557</v>
      </c>
      <c r="D2060" t="s">
        <v>106</v>
      </c>
      <c r="E2060" t="s">
        <v>191</v>
      </c>
      <c r="F2060" t="s">
        <v>369</v>
      </c>
      <c r="G2060">
        <v>898873</v>
      </c>
    </row>
    <row r="2061" spans="1:7" x14ac:dyDescent="0.35">
      <c r="A2061">
        <v>2025</v>
      </c>
      <c r="B2061">
        <v>8</v>
      </c>
      <c r="C2061" t="s">
        <v>557</v>
      </c>
      <c r="D2061" t="s">
        <v>106</v>
      </c>
      <c r="E2061" t="s">
        <v>192</v>
      </c>
      <c r="F2061" t="s">
        <v>370</v>
      </c>
      <c r="G2061">
        <v>326307</v>
      </c>
    </row>
    <row r="2062" spans="1:7" x14ac:dyDescent="0.35">
      <c r="A2062">
        <v>2025</v>
      </c>
      <c r="B2062">
        <v>8</v>
      </c>
      <c r="C2062" t="s">
        <v>557</v>
      </c>
      <c r="D2062" t="s">
        <v>106</v>
      </c>
      <c r="E2062" t="s">
        <v>193</v>
      </c>
      <c r="F2062" t="s">
        <v>371</v>
      </c>
      <c r="G2062">
        <v>27600</v>
      </c>
    </row>
    <row r="2063" spans="1:7" x14ac:dyDescent="0.35">
      <c r="A2063">
        <v>2025</v>
      </c>
      <c r="B2063">
        <v>8</v>
      </c>
      <c r="C2063" t="s">
        <v>557</v>
      </c>
      <c r="D2063" t="s">
        <v>106</v>
      </c>
      <c r="E2063" t="s">
        <v>194</v>
      </c>
      <c r="F2063" t="s">
        <v>372</v>
      </c>
      <c r="G2063">
        <v>600</v>
      </c>
    </row>
    <row r="2064" spans="1:7" x14ac:dyDescent="0.35">
      <c r="A2064">
        <v>2025</v>
      </c>
      <c r="B2064">
        <v>8</v>
      </c>
      <c r="C2064" t="s">
        <v>557</v>
      </c>
      <c r="D2064" t="s">
        <v>106</v>
      </c>
      <c r="E2064" t="s">
        <v>195</v>
      </c>
      <c r="F2064" t="s">
        <v>373</v>
      </c>
      <c r="G2064">
        <v>110327</v>
      </c>
    </row>
    <row r="2065" spans="1:7" x14ac:dyDescent="0.35">
      <c r="A2065">
        <v>2025</v>
      </c>
      <c r="B2065">
        <v>8</v>
      </c>
      <c r="C2065" t="s">
        <v>557</v>
      </c>
      <c r="D2065" t="s">
        <v>75</v>
      </c>
      <c r="E2065" t="s">
        <v>204</v>
      </c>
      <c r="F2065" t="s">
        <v>383</v>
      </c>
      <c r="G2065">
        <v>1140</v>
      </c>
    </row>
    <row r="2066" spans="1:7" x14ac:dyDescent="0.35">
      <c r="A2066">
        <v>2025</v>
      </c>
      <c r="B2066">
        <v>8</v>
      </c>
      <c r="C2066" t="s">
        <v>557</v>
      </c>
      <c r="D2066" t="s">
        <v>23</v>
      </c>
      <c r="E2066" t="s">
        <v>206</v>
      </c>
      <c r="F2066" t="s">
        <v>385</v>
      </c>
      <c r="G2066">
        <v>21513</v>
      </c>
    </row>
    <row r="2067" spans="1:7" x14ac:dyDescent="0.35">
      <c r="A2067">
        <v>2025</v>
      </c>
      <c r="B2067">
        <v>8</v>
      </c>
      <c r="C2067" t="s">
        <v>557</v>
      </c>
      <c r="D2067" t="s">
        <v>24</v>
      </c>
      <c r="E2067" t="s">
        <v>207</v>
      </c>
      <c r="F2067" t="s">
        <v>386</v>
      </c>
      <c r="G2067">
        <v>96812</v>
      </c>
    </row>
    <row r="2068" spans="1:7" x14ac:dyDescent="0.35">
      <c r="A2068">
        <v>2025</v>
      </c>
      <c r="B2068">
        <v>8</v>
      </c>
      <c r="C2068" t="s">
        <v>557</v>
      </c>
      <c r="D2068" t="s">
        <v>519</v>
      </c>
      <c r="E2068" t="s">
        <v>203</v>
      </c>
      <c r="F2068" t="s">
        <v>381</v>
      </c>
      <c r="G2068">
        <v>22124.36</v>
      </c>
    </row>
    <row r="2069" spans="1:7" x14ac:dyDescent="0.35">
      <c r="A2069">
        <v>2025</v>
      </c>
      <c r="B2069">
        <v>8</v>
      </c>
      <c r="C2069" t="s">
        <v>557</v>
      </c>
      <c r="D2069" t="s">
        <v>519</v>
      </c>
      <c r="E2069" t="s">
        <v>196</v>
      </c>
      <c r="F2069" t="s">
        <v>382</v>
      </c>
      <c r="G2069">
        <v>4.01</v>
      </c>
    </row>
    <row r="2070" spans="1:7" x14ac:dyDescent="0.35">
      <c r="A2070">
        <v>2025</v>
      </c>
      <c r="B2070">
        <v>8</v>
      </c>
      <c r="C2070" t="s">
        <v>557</v>
      </c>
      <c r="D2070" t="s">
        <v>519</v>
      </c>
      <c r="E2070" t="s">
        <v>285</v>
      </c>
      <c r="F2070" t="s">
        <v>465</v>
      </c>
      <c r="G2070">
        <v>9242.75</v>
      </c>
    </row>
    <row r="2071" spans="1:7" x14ac:dyDescent="0.35">
      <c r="A2071">
        <v>2025</v>
      </c>
      <c r="B2071">
        <v>8</v>
      </c>
      <c r="C2071" t="s">
        <v>557</v>
      </c>
      <c r="D2071" t="s">
        <v>520</v>
      </c>
      <c r="E2071" t="s">
        <v>241</v>
      </c>
      <c r="F2071" t="s">
        <v>420</v>
      </c>
      <c r="G2071">
        <v>744</v>
      </c>
    </row>
    <row r="2072" spans="1:7" x14ac:dyDescent="0.35">
      <c r="A2072">
        <v>2025</v>
      </c>
      <c r="B2072">
        <v>8</v>
      </c>
      <c r="C2072" t="s">
        <v>557</v>
      </c>
      <c r="D2072" t="s">
        <v>520</v>
      </c>
      <c r="E2072" t="s">
        <v>208</v>
      </c>
      <c r="F2072" t="s">
        <v>387</v>
      </c>
      <c r="G2072">
        <v>50</v>
      </c>
    </row>
    <row r="2073" spans="1:7" x14ac:dyDescent="0.35">
      <c r="A2073">
        <v>2025</v>
      </c>
      <c r="B2073">
        <v>8</v>
      </c>
      <c r="C2073" t="s">
        <v>557</v>
      </c>
      <c r="D2073" t="s">
        <v>520</v>
      </c>
      <c r="E2073" t="s">
        <v>134</v>
      </c>
      <c r="F2073" t="s">
        <v>315</v>
      </c>
      <c r="G2073">
        <v>17359</v>
      </c>
    </row>
    <row r="2074" spans="1:7" x14ac:dyDescent="0.35">
      <c r="A2074">
        <v>2025</v>
      </c>
      <c r="B2074">
        <v>8</v>
      </c>
      <c r="C2074" t="s">
        <v>557</v>
      </c>
      <c r="D2074" t="s">
        <v>520</v>
      </c>
      <c r="E2074" t="s">
        <v>297</v>
      </c>
      <c r="F2074" t="s">
        <v>482</v>
      </c>
      <c r="G2074">
        <v>900</v>
      </c>
    </row>
    <row r="2075" spans="1:7" x14ac:dyDescent="0.35">
      <c r="A2075">
        <v>2025</v>
      </c>
      <c r="B2075">
        <v>8</v>
      </c>
      <c r="C2075" t="s">
        <v>557</v>
      </c>
      <c r="D2075" t="s">
        <v>520</v>
      </c>
      <c r="E2075" t="s">
        <v>196</v>
      </c>
      <c r="F2075" t="s">
        <v>374</v>
      </c>
      <c r="G2075">
        <v>5</v>
      </c>
    </row>
    <row r="2076" spans="1:7" x14ac:dyDescent="0.35">
      <c r="A2076">
        <v>2025</v>
      </c>
      <c r="B2076">
        <v>8</v>
      </c>
      <c r="C2076" t="s">
        <v>557</v>
      </c>
      <c r="D2076" t="s">
        <v>520</v>
      </c>
      <c r="E2076" t="s">
        <v>197</v>
      </c>
      <c r="F2076" t="s">
        <v>375</v>
      </c>
      <c r="G2076">
        <v>44685</v>
      </c>
    </row>
    <row r="2077" spans="1:7" x14ac:dyDescent="0.35">
      <c r="A2077">
        <v>2025</v>
      </c>
      <c r="B2077">
        <v>8</v>
      </c>
      <c r="C2077" t="s">
        <v>557</v>
      </c>
      <c r="D2077" t="s">
        <v>520</v>
      </c>
      <c r="E2077" t="s">
        <v>198</v>
      </c>
      <c r="F2077" t="s">
        <v>376</v>
      </c>
      <c r="G2077">
        <v>1924</v>
      </c>
    </row>
    <row r="2078" spans="1:7" x14ac:dyDescent="0.35">
      <c r="A2078">
        <v>2025</v>
      </c>
      <c r="B2078">
        <v>8</v>
      </c>
      <c r="C2078" t="s">
        <v>557</v>
      </c>
      <c r="D2078" t="s">
        <v>520</v>
      </c>
      <c r="E2078" t="s">
        <v>200</v>
      </c>
      <c r="F2078" t="s">
        <v>378</v>
      </c>
      <c r="G2078">
        <v>2951</v>
      </c>
    </row>
    <row r="2079" spans="1:7" x14ac:dyDescent="0.35">
      <c r="A2079">
        <v>2025</v>
      </c>
      <c r="B2079">
        <v>8</v>
      </c>
      <c r="C2079" t="s">
        <v>557</v>
      </c>
      <c r="D2079" t="s">
        <v>520</v>
      </c>
      <c r="E2079" t="s">
        <v>201</v>
      </c>
      <c r="F2079" t="s">
        <v>379</v>
      </c>
      <c r="G2079">
        <v>1149</v>
      </c>
    </row>
    <row r="2080" spans="1:7" x14ac:dyDescent="0.35">
      <c r="A2080">
        <v>2025</v>
      </c>
      <c r="B2080">
        <v>8</v>
      </c>
      <c r="C2080" t="s">
        <v>557</v>
      </c>
      <c r="D2080" t="s">
        <v>12</v>
      </c>
      <c r="E2080" t="s">
        <v>210</v>
      </c>
      <c r="F2080" t="s">
        <v>389</v>
      </c>
      <c r="G2080">
        <v>1214</v>
      </c>
    </row>
    <row r="2081" spans="1:7" x14ac:dyDescent="0.35">
      <c r="A2081">
        <v>2025</v>
      </c>
      <c r="B2081">
        <v>8</v>
      </c>
      <c r="C2081" t="s">
        <v>557</v>
      </c>
      <c r="D2081" t="s">
        <v>12</v>
      </c>
      <c r="E2081" t="s">
        <v>212</v>
      </c>
      <c r="F2081" t="s">
        <v>391</v>
      </c>
      <c r="G2081">
        <v>3052</v>
      </c>
    </row>
    <row r="2082" spans="1:7" x14ac:dyDescent="0.35">
      <c r="A2082">
        <v>2025</v>
      </c>
      <c r="B2082">
        <v>8</v>
      </c>
      <c r="C2082" t="s">
        <v>557</v>
      </c>
      <c r="D2082" t="s">
        <v>12</v>
      </c>
      <c r="E2082" t="s">
        <v>213</v>
      </c>
      <c r="F2082" t="s">
        <v>392</v>
      </c>
      <c r="G2082">
        <v>9591</v>
      </c>
    </row>
    <row r="2083" spans="1:7" x14ac:dyDescent="0.35">
      <c r="A2083">
        <v>2025</v>
      </c>
      <c r="B2083">
        <v>8</v>
      </c>
      <c r="C2083" t="s">
        <v>557</v>
      </c>
      <c r="D2083" t="s">
        <v>12</v>
      </c>
      <c r="E2083" t="s">
        <v>214</v>
      </c>
      <c r="F2083" t="s">
        <v>394</v>
      </c>
      <c r="G2083">
        <v>3727</v>
      </c>
    </row>
    <row r="2084" spans="1:7" x14ac:dyDescent="0.35">
      <c r="A2084">
        <v>2025</v>
      </c>
      <c r="B2084">
        <v>8</v>
      </c>
      <c r="C2084" t="s">
        <v>557</v>
      </c>
      <c r="D2084" t="s">
        <v>12</v>
      </c>
      <c r="E2084" t="s">
        <v>215</v>
      </c>
      <c r="F2084" t="s">
        <v>395</v>
      </c>
      <c r="G2084">
        <v>3003</v>
      </c>
    </row>
    <row r="2085" spans="1:7" x14ac:dyDescent="0.35">
      <c r="A2085">
        <v>2025</v>
      </c>
      <c r="B2085">
        <v>8</v>
      </c>
      <c r="C2085" t="s">
        <v>557</v>
      </c>
      <c r="D2085" t="s">
        <v>12</v>
      </c>
      <c r="E2085" t="s">
        <v>217</v>
      </c>
      <c r="F2085" t="s">
        <v>397</v>
      </c>
      <c r="G2085">
        <v>2265</v>
      </c>
    </row>
    <row r="2086" spans="1:7" x14ac:dyDescent="0.35">
      <c r="A2086">
        <v>2025</v>
      </c>
      <c r="B2086">
        <v>8</v>
      </c>
      <c r="C2086" t="s">
        <v>557</v>
      </c>
      <c r="D2086" t="s">
        <v>12</v>
      </c>
      <c r="E2086" t="s">
        <v>218</v>
      </c>
      <c r="F2086" t="s">
        <v>398</v>
      </c>
      <c r="G2086">
        <v>6797</v>
      </c>
    </row>
    <row r="2087" spans="1:7" x14ac:dyDescent="0.35">
      <c r="A2087">
        <v>2025</v>
      </c>
      <c r="B2087">
        <v>8</v>
      </c>
      <c r="C2087" t="s">
        <v>557</v>
      </c>
      <c r="D2087" t="s">
        <v>12</v>
      </c>
      <c r="E2087" t="s">
        <v>219</v>
      </c>
      <c r="F2087" t="s">
        <v>399</v>
      </c>
      <c r="G2087">
        <v>2929</v>
      </c>
    </row>
    <row r="2088" spans="1:7" x14ac:dyDescent="0.35">
      <c r="A2088">
        <v>2025</v>
      </c>
      <c r="B2088">
        <v>8</v>
      </c>
      <c r="C2088" t="s">
        <v>557</v>
      </c>
      <c r="D2088" t="s">
        <v>12</v>
      </c>
      <c r="E2088" t="s">
        <v>220</v>
      </c>
      <c r="F2088" t="s">
        <v>400</v>
      </c>
      <c r="G2088">
        <v>6415</v>
      </c>
    </row>
    <row r="2089" spans="1:7" x14ac:dyDescent="0.35">
      <c r="A2089">
        <v>2025</v>
      </c>
      <c r="B2089">
        <v>8</v>
      </c>
      <c r="C2089" t="s">
        <v>557</v>
      </c>
      <c r="D2089" t="s">
        <v>12</v>
      </c>
      <c r="E2089" t="s">
        <v>221</v>
      </c>
      <c r="F2089" t="s">
        <v>401</v>
      </c>
      <c r="G2089">
        <v>3040</v>
      </c>
    </row>
    <row r="2090" spans="1:7" x14ac:dyDescent="0.35">
      <c r="A2090">
        <v>2025</v>
      </c>
      <c r="B2090">
        <v>8</v>
      </c>
      <c r="C2090" t="s">
        <v>557</v>
      </c>
      <c r="D2090" t="s">
        <v>12</v>
      </c>
      <c r="E2090" t="s">
        <v>222</v>
      </c>
      <c r="F2090" t="s">
        <v>402</v>
      </c>
      <c r="G2090">
        <v>2917</v>
      </c>
    </row>
    <row r="2091" spans="1:7" x14ac:dyDescent="0.35">
      <c r="A2091">
        <v>2025</v>
      </c>
      <c r="B2091">
        <v>8</v>
      </c>
      <c r="C2091" t="s">
        <v>557</v>
      </c>
      <c r="D2091" t="s">
        <v>28</v>
      </c>
      <c r="E2091" t="s">
        <v>223</v>
      </c>
      <c r="F2091" t="s">
        <v>403</v>
      </c>
      <c r="G2091">
        <v>31858</v>
      </c>
    </row>
    <row r="2092" spans="1:7" x14ac:dyDescent="0.35">
      <c r="A2092">
        <v>2025</v>
      </c>
      <c r="B2092">
        <v>8</v>
      </c>
      <c r="C2092" t="s">
        <v>557</v>
      </c>
      <c r="D2092" t="s">
        <v>28</v>
      </c>
      <c r="E2092" t="s">
        <v>224</v>
      </c>
      <c r="F2092" t="s">
        <v>404</v>
      </c>
      <c r="G2092">
        <v>46033</v>
      </c>
    </row>
    <row r="2093" spans="1:7" x14ac:dyDescent="0.35">
      <c r="A2093">
        <v>2025</v>
      </c>
      <c r="B2093">
        <v>8</v>
      </c>
      <c r="C2093" t="s">
        <v>557</v>
      </c>
      <c r="D2093" t="s">
        <v>64</v>
      </c>
      <c r="E2093" t="s">
        <v>225</v>
      </c>
      <c r="F2093" t="s">
        <v>405</v>
      </c>
      <c r="G2093">
        <v>19112</v>
      </c>
    </row>
    <row r="2094" spans="1:7" x14ac:dyDescent="0.35">
      <c r="A2094">
        <v>2025</v>
      </c>
      <c r="B2094">
        <v>8</v>
      </c>
      <c r="C2094" t="s">
        <v>557</v>
      </c>
      <c r="D2094" t="s">
        <v>102</v>
      </c>
      <c r="E2094" t="s">
        <v>227</v>
      </c>
      <c r="F2094" t="s">
        <v>407</v>
      </c>
      <c r="G2094">
        <v>-40677</v>
      </c>
    </row>
    <row r="2095" spans="1:7" x14ac:dyDescent="0.35">
      <c r="A2095">
        <v>2025</v>
      </c>
      <c r="B2095">
        <v>8</v>
      </c>
      <c r="C2095" t="s">
        <v>557</v>
      </c>
      <c r="D2095" t="s">
        <v>229</v>
      </c>
      <c r="E2095" t="s">
        <v>230</v>
      </c>
      <c r="F2095" t="s">
        <v>409</v>
      </c>
      <c r="G2095">
        <v>-1013473</v>
      </c>
    </row>
    <row r="2096" spans="1:7" x14ac:dyDescent="0.35">
      <c r="A2096">
        <v>2025</v>
      </c>
      <c r="B2096">
        <v>8</v>
      </c>
      <c r="C2096" t="s">
        <v>557</v>
      </c>
      <c r="D2096" t="s">
        <v>13</v>
      </c>
      <c r="E2096" t="s">
        <v>232</v>
      </c>
      <c r="F2096" t="s">
        <v>411</v>
      </c>
      <c r="G2096">
        <v>86</v>
      </c>
    </row>
    <row r="2097" spans="1:7" x14ac:dyDescent="0.35">
      <c r="A2097">
        <v>2025</v>
      </c>
      <c r="B2097">
        <v>8</v>
      </c>
      <c r="C2097" t="s">
        <v>557</v>
      </c>
      <c r="D2097" t="s">
        <v>94</v>
      </c>
      <c r="E2097" t="s">
        <v>233</v>
      </c>
      <c r="F2097" t="s">
        <v>412</v>
      </c>
      <c r="G2097">
        <v>28000</v>
      </c>
    </row>
    <row r="2098" spans="1:7" x14ac:dyDescent="0.35">
      <c r="A2098">
        <v>2025</v>
      </c>
      <c r="B2098">
        <v>8</v>
      </c>
      <c r="C2098" t="s">
        <v>557</v>
      </c>
      <c r="D2098" t="s">
        <v>36</v>
      </c>
      <c r="E2098" t="s">
        <v>275</v>
      </c>
      <c r="F2098" t="s">
        <v>455</v>
      </c>
      <c r="G2098">
        <v>9510</v>
      </c>
    </row>
    <row r="2099" spans="1:7" x14ac:dyDescent="0.35">
      <c r="A2099">
        <v>2025</v>
      </c>
      <c r="B2099">
        <v>8</v>
      </c>
      <c r="C2099" t="s">
        <v>557</v>
      </c>
      <c r="D2099" t="s">
        <v>40</v>
      </c>
      <c r="E2099" t="s">
        <v>235</v>
      </c>
      <c r="F2099" t="s">
        <v>414</v>
      </c>
      <c r="G2099">
        <v>9605</v>
      </c>
    </row>
    <row r="2100" spans="1:7" x14ac:dyDescent="0.35">
      <c r="A2100">
        <v>2025</v>
      </c>
      <c r="B2100">
        <v>8</v>
      </c>
      <c r="C2100" t="s">
        <v>557</v>
      </c>
      <c r="D2100" t="s">
        <v>45</v>
      </c>
      <c r="E2100" t="s">
        <v>276</v>
      </c>
      <c r="F2100" t="s">
        <v>456</v>
      </c>
      <c r="G2100">
        <v>72541</v>
      </c>
    </row>
    <row r="2101" spans="1:7" x14ac:dyDescent="0.35">
      <c r="A2101">
        <v>2025</v>
      </c>
      <c r="B2101">
        <v>8</v>
      </c>
      <c r="C2101" t="s">
        <v>557</v>
      </c>
      <c r="D2101" t="s">
        <v>76</v>
      </c>
      <c r="E2101" t="s">
        <v>236</v>
      </c>
      <c r="F2101" t="s">
        <v>415</v>
      </c>
      <c r="G2101">
        <v>-2806769</v>
      </c>
    </row>
    <row r="2102" spans="1:7" x14ac:dyDescent="0.35">
      <c r="A2102">
        <v>2025</v>
      </c>
      <c r="B2102">
        <v>8</v>
      </c>
      <c r="C2102" t="s">
        <v>557</v>
      </c>
      <c r="D2102" t="s">
        <v>76</v>
      </c>
      <c r="E2102" t="s">
        <v>237</v>
      </c>
      <c r="F2102" t="s">
        <v>416</v>
      </c>
      <c r="G2102">
        <v>-40677.120000000003</v>
      </c>
    </row>
    <row r="2103" spans="1:7" x14ac:dyDescent="0.35">
      <c r="A2103">
        <v>2025</v>
      </c>
      <c r="B2103">
        <v>8</v>
      </c>
      <c r="C2103" t="s">
        <v>557</v>
      </c>
      <c r="D2103" t="s">
        <v>76</v>
      </c>
      <c r="E2103" t="s">
        <v>238</v>
      </c>
      <c r="F2103" t="s">
        <v>417</v>
      </c>
      <c r="G2103">
        <v>-708203.2</v>
      </c>
    </row>
    <row r="2104" spans="1:7" x14ac:dyDescent="0.35">
      <c r="A2104">
        <v>2025</v>
      </c>
      <c r="B2104">
        <v>8</v>
      </c>
      <c r="C2104" t="s">
        <v>557</v>
      </c>
      <c r="D2104" t="s">
        <v>76</v>
      </c>
      <c r="E2104" t="s">
        <v>239</v>
      </c>
      <c r="F2104" t="s">
        <v>418</v>
      </c>
      <c r="G2104">
        <v>2951115.32</v>
      </c>
    </row>
    <row r="2105" spans="1:7" x14ac:dyDescent="0.35">
      <c r="A2105">
        <v>2025</v>
      </c>
      <c r="B2105">
        <v>8</v>
      </c>
      <c r="C2105" t="s">
        <v>557</v>
      </c>
      <c r="D2105" t="s">
        <v>35</v>
      </c>
      <c r="E2105" t="s">
        <v>240</v>
      </c>
      <c r="F2105" t="s">
        <v>419</v>
      </c>
      <c r="G2105">
        <v>200647</v>
      </c>
    </row>
    <row r="2106" spans="1:7" x14ac:dyDescent="0.35">
      <c r="A2106">
        <v>2025</v>
      </c>
      <c r="B2106">
        <v>8</v>
      </c>
      <c r="C2106" t="s">
        <v>557</v>
      </c>
      <c r="D2106" t="s">
        <v>103</v>
      </c>
      <c r="E2106" t="s">
        <v>242</v>
      </c>
      <c r="F2106" t="s">
        <v>421</v>
      </c>
      <c r="G2106">
        <v>-708203</v>
      </c>
    </row>
    <row r="2107" spans="1:7" x14ac:dyDescent="0.35">
      <c r="A2107">
        <v>2025</v>
      </c>
      <c r="B2107">
        <v>8</v>
      </c>
      <c r="C2107" t="s">
        <v>557</v>
      </c>
      <c r="D2107" t="s">
        <v>104</v>
      </c>
      <c r="E2107" t="s">
        <v>243</v>
      </c>
      <c r="F2107" t="s">
        <v>422</v>
      </c>
      <c r="G2107">
        <v>2951115</v>
      </c>
    </row>
    <row r="2108" spans="1:7" x14ac:dyDescent="0.35">
      <c r="A2108">
        <v>2025</v>
      </c>
      <c r="B2108">
        <v>8</v>
      </c>
      <c r="C2108" t="s">
        <v>557</v>
      </c>
      <c r="D2108" t="s">
        <v>244</v>
      </c>
      <c r="E2108" t="s">
        <v>245</v>
      </c>
      <c r="F2108" t="s">
        <v>423</v>
      </c>
      <c r="G2108">
        <v>-338475</v>
      </c>
    </row>
    <row r="2109" spans="1:7" x14ac:dyDescent="0.35">
      <c r="A2109">
        <v>2025</v>
      </c>
      <c r="B2109">
        <v>8</v>
      </c>
      <c r="C2109" t="s">
        <v>557</v>
      </c>
      <c r="D2109" t="s">
        <v>14</v>
      </c>
      <c r="E2109" t="s">
        <v>131</v>
      </c>
      <c r="F2109" t="s">
        <v>425</v>
      </c>
      <c r="G2109">
        <v>92359</v>
      </c>
    </row>
    <row r="2110" spans="1:7" x14ac:dyDescent="0.35">
      <c r="A2110">
        <v>2025</v>
      </c>
      <c r="B2110">
        <v>8</v>
      </c>
      <c r="C2110" t="s">
        <v>557</v>
      </c>
      <c r="D2110" t="s">
        <v>30</v>
      </c>
      <c r="E2110" t="s">
        <v>247</v>
      </c>
      <c r="F2110" t="s">
        <v>426</v>
      </c>
      <c r="G2110">
        <v>13760</v>
      </c>
    </row>
    <row r="2111" spans="1:7" x14ac:dyDescent="0.35">
      <c r="A2111">
        <v>2025</v>
      </c>
      <c r="B2111">
        <v>8</v>
      </c>
      <c r="C2111" t="s">
        <v>557</v>
      </c>
      <c r="D2111" t="s">
        <v>15</v>
      </c>
      <c r="E2111" t="s">
        <v>248</v>
      </c>
      <c r="F2111" t="s">
        <v>427</v>
      </c>
      <c r="G2111">
        <v>32689</v>
      </c>
    </row>
    <row r="2112" spans="1:7" x14ac:dyDescent="0.35">
      <c r="A2112">
        <v>2025</v>
      </c>
      <c r="B2112">
        <v>8</v>
      </c>
      <c r="C2112" t="s">
        <v>557</v>
      </c>
      <c r="D2112" t="s">
        <v>52</v>
      </c>
      <c r="E2112" t="s">
        <v>303</v>
      </c>
      <c r="F2112" t="s">
        <v>483</v>
      </c>
      <c r="G2112">
        <v>8508</v>
      </c>
    </row>
    <row r="2113" spans="1:7" x14ac:dyDescent="0.35">
      <c r="A2113">
        <v>2025</v>
      </c>
      <c r="B2113">
        <v>8</v>
      </c>
      <c r="C2113" t="s">
        <v>557</v>
      </c>
      <c r="D2113" t="s">
        <v>84</v>
      </c>
      <c r="E2113" t="s">
        <v>250</v>
      </c>
      <c r="F2113" t="s">
        <v>429</v>
      </c>
      <c r="G2113">
        <v>2992405.73</v>
      </c>
    </row>
    <row r="2114" spans="1:7" x14ac:dyDescent="0.35">
      <c r="A2114">
        <v>2025</v>
      </c>
      <c r="B2114">
        <v>8</v>
      </c>
      <c r="C2114" t="s">
        <v>557</v>
      </c>
      <c r="D2114" t="s">
        <v>81</v>
      </c>
      <c r="E2114" t="s">
        <v>251</v>
      </c>
      <c r="F2114" t="s">
        <v>430</v>
      </c>
      <c r="G2114">
        <v>20486668.399999999</v>
      </c>
    </row>
    <row r="2115" spans="1:7" x14ac:dyDescent="0.35">
      <c r="A2115">
        <v>2025</v>
      </c>
      <c r="B2115">
        <v>8</v>
      </c>
      <c r="C2115" t="s">
        <v>557</v>
      </c>
      <c r="D2115" t="s">
        <v>81</v>
      </c>
      <c r="E2115" t="s">
        <v>252</v>
      </c>
      <c r="F2115" t="s">
        <v>431</v>
      </c>
      <c r="G2115">
        <v>996000</v>
      </c>
    </row>
    <row r="2116" spans="1:7" x14ac:dyDescent="0.35">
      <c r="A2116">
        <v>2025</v>
      </c>
      <c r="B2116">
        <v>8</v>
      </c>
      <c r="C2116" t="s">
        <v>557</v>
      </c>
      <c r="D2116" t="s">
        <v>81</v>
      </c>
      <c r="E2116" t="s">
        <v>289</v>
      </c>
      <c r="F2116" t="s">
        <v>471</v>
      </c>
      <c r="G2116">
        <v>564500</v>
      </c>
    </row>
    <row r="2117" spans="1:7" x14ac:dyDescent="0.35">
      <c r="A2117">
        <v>2025</v>
      </c>
      <c r="B2117">
        <v>8</v>
      </c>
      <c r="C2117" t="s">
        <v>557</v>
      </c>
      <c r="D2117" t="s">
        <v>81</v>
      </c>
      <c r="E2117" t="s">
        <v>304</v>
      </c>
      <c r="F2117" t="s">
        <v>484</v>
      </c>
      <c r="G2117">
        <v>22607.599999999999</v>
      </c>
    </row>
    <row r="2118" spans="1:7" x14ac:dyDescent="0.35">
      <c r="A2118">
        <v>2025</v>
      </c>
      <c r="B2118">
        <v>8</v>
      </c>
      <c r="C2118" t="s">
        <v>557</v>
      </c>
      <c r="D2118" t="s">
        <v>44</v>
      </c>
      <c r="E2118" t="s">
        <v>253</v>
      </c>
      <c r="F2118" t="s">
        <v>432</v>
      </c>
      <c r="G2118">
        <v>55000</v>
      </c>
    </row>
    <row r="2119" spans="1:7" x14ac:dyDescent="0.35">
      <c r="A2119">
        <v>2025</v>
      </c>
      <c r="B2119">
        <v>8</v>
      </c>
      <c r="C2119" t="s">
        <v>557</v>
      </c>
      <c r="D2119" t="s">
        <v>16</v>
      </c>
      <c r="E2119" t="s">
        <v>254</v>
      </c>
      <c r="F2119" t="s">
        <v>433</v>
      </c>
      <c r="G2119">
        <v>15012</v>
      </c>
    </row>
    <row r="2120" spans="1:7" x14ac:dyDescent="0.35">
      <c r="A2120">
        <v>2025</v>
      </c>
      <c r="B2120">
        <v>8</v>
      </c>
      <c r="C2120" t="s">
        <v>557</v>
      </c>
      <c r="D2120" t="s">
        <v>37</v>
      </c>
      <c r="E2120" t="s">
        <v>256</v>
      </c>
      <c r="F2120" t="s">
        <v>435</v>
      </c>
      <c r="G2120">
        <v>-95666.4</v>
      </c>
    </row>
    <row r="2121" spans="1:7" x14ac:dyDescent="0.35">
      <c r="A2121">
        <v>2025</v>
      </c>
      <c r="B2121">
        <v>8</v>
      </c>
      <c r="C2121" t="s">
        <v>557</v>
      </c>
      <c r="D2121" t="s">
        <v>37</v>
      </c>
      <c r="E2121" t="s">
        <v>257</v>
      </c>
      <c r="F2121" t="s">
        <v>436</v>
      </c>
      <c r="G2121">
        <v>-5732764</v>
      </c>
    </row>
    <row r="2122" spans="1:7" x14ac:dyDescent="0.35">
      <c r="A2122">
        <v>2025</v>
      </c>
      <c r="B2122">
        <v>8</v>
      </c>
      <c r="C2122" t="s">
        <v>557</v>
      </c>
      <c r="D2122" t="s">
        <v>18</v>
      </c>
      <c r="E2122" t="s">
        <v>259</v>
      </c>
      <c r="F2122" t="s">
        <v>438</v>
      </c>
      <c r="G2122">
        <v>64050</v>
      </c>
    </row>
    <row r="2123" spans="1:7" x14ac:dyDescent="0.35">
      <c r="A2123">
        <v>2025</v>
      </c>
      <c r="B2123">
        <v>9</v>
      </c>
      <c r="C2123" t="s">
        <v>560</v>
      </c>
      <c r="E2123" t="s">
        <v>293</v>
      </c>
      <c r="F2123" t="s">
        <v>477</v>
      </c>
      <c r="G2123">
        <v>4272</v>
      </c>
    </row>
    <row r="2124" spans="1:7" x14ac:dyDescent="0.35">
      <c r="A2124">
        <v>2025</v>
      </c>
      <c r="B2124">
        <v>9</v>
      </c>
      <c r="C2124" t="s">
        <v>560</v>
      </c>
      <c r="E2124" t="s">
        <v>554</v>
      </c>
      <c r="F2124" t="s">
        <v>555</v>
      </c>
      <c r="G2124">
        <v>5787</v>
      </c>
    </row>
    <row r="2125" spans="1:7" x14ac:dyDescent="0.35">
      <c r="A2125">
        <v>2025</v>
      </c>
      <c r="B2125">
        <v>9</v>
      </c>
      <c r="C2125" t="s">
        <v>560</v>
      </c>
      <c r="D2125" t="s">
        <v>59</v>
      </c>
      <c r="E2125" t="s">
        <v>133</v>
      </c>
      <c r="F2125" t="s">
        <v>313</v>
      </c>
      <c r="G2125">
        <v>1800</v>
      </c>
    </row>
    <row r="2126" spans="1:7" x14ac:dyDescent="0.35">
      <c r="A2126">
        <v>2025</v>
      </c>
      <c r="B2126">
        <v>9</v>
      </c>
      <c r="C2126" t="s">
        <v>560</v>
      </c>
      <c r="D2126" t="s">
        <v>71</v>
      </c>
      <c r="E2126" t="s">
        <v>558</v>
      </c>
      <c r="F2126" t="s">
        <v>559</v>
      </c>
      <c r="G2126">
        <v>6850</v>
      </c>
    </row>
    <row r="2127" spans="1:7" x14ac:dyDescent="0.35">
      <c r="A2127">
        <v>2025</v>
      </c>
      <c r="B2127">
        <v>9</v>
      </c>
      <c r="C2127" t="s">
        <v>560</v>
      </c>
      <c r="D2127" t="s">
        <v>38</v>
      </c>
      <c r="E2127" t="s">
        <v>122</v>
      </c>
      <c r="F2127" t="s">
        <v>314</v>
      </c>
      <c r="G2127">
        <v>1590</v>
      </c>
    </row>
    <row r="2128" spans="1:7" x14ac:dyDescent="0.35">
      <c r="A2128">
        <v>2025</v>
      </c>
      <c r="B2128">
        <v>9</v>
      </c>
      <c r="C2128" t="s">
        <v>560</v>
      </c>
      <c r="D2128" t="s">
        <v>6</v>
      </c>
      <c r="E2128" t="s">
        <v>135</v>
      </c>
      <c r="F2128" t="s">
        <v>316</v>
      </c>
      <c r="G2128">
        <v>20200</v>
      </c>
    </row>
    <row r="2129" spans="1:7" x14ac:dyDescent="0.35">
      <c r="A2129">
        <v>2025</v>
      </c>
      <c r="B2129">
        <v>9</v>
      </c>
      <c r="C2129" t="s">
        <v>560</v>
      </c>
      <c r="D2129" t="s">
        <v>6</v>
      </c>
      <c r="E2129" t="s">
        <v>136</v>
      </c>
      <c r="F2129" t="s">
        <v>317</v>
      </c>
      <c r="G2129">
        <v>78328</v>
      </c>
    </row>
    <row r="2130" spans="1:7" x14ac:dyDescent="0.35">
      <c r="A2130">
        <v>2025</v>
      </c>
      <c r="B2130">
        <v>9</v>
      </c>
      <c r="C2130" t="s">
        <v>560</v>
      </c>
      <c r="D2130" t="s">
        <v>6</v>
      </c>
      <c r="E2130" t="s">
        <v>137</v>
      </c>
      <c r="F2130" t="s">
        <v>318</v>
      </c>
      <c r="G2130">
        <v>24860</v>
      </c>
    </row>
    <row r="2131" spans="1:7" x14ac:dyDescent="0.35">
      <c r="A2131">
        <v>2025</v>
      </c>
      <c r="B2131">
        <v>9</v>
      </c>
      <c r="C2131" t="s">
        <v>560</v>
      </c>
      <c r="D2131" t="s">
        <v>6</v>
      </c>
      <c r="E2131" t="s">
        <v>138</v>
      </c>
      <c r="F2131" t="s">
        <v>319</v>
      </c>
      <c r="G2131">
        <v>72194</v>
      </c>
    </row>
    <row r="2132" spans="1:7" x14ac:dyDescent="0.35">
      <c r="A2132">
        <v>2025</v>
      </c>
      <c r="B2132">
        <v>9</v>
      </c>
      <c r="C2132" t="s">
        <v>560</v>
      </c>
      <c r="D2132" t="s">
        <v>31</v>
      </c>
      <c r="E2132" t="s">
        <v>143</v>
      </c>
      <c r="F2132" t="s">
        <v>324</v>
      </c>
      <c r="G2132">
        <v>329926</v>
      </c>
    </row>
    <row r="2133" spans="1:7" x14ac:dyDescent="0.35">
      <c r="A2133">
        <v>2025</v>
      </c>
      <c r="B2133">
        <v>9</v>
      </c>
      <c r="C2133" t="s">
        <v>560</v>
      </c>
      <c r="D2133" t="s">
        <v>26</v>
      </c>
      <c r="E2133" t="s">
        <v>144</v>
      </c>
      <c r="F2133" t="s">
        <v>325</v>
      </c>
      <c r="G2133">
        <v>24969</v>
      </c>
    </row>
    <row r="2134" spans="1:7" x14ac:dyDescent="0.35">
      <c r="A2134">
        <v>2025</v>
      </c>
      <c r="B2134">
        <v>9</v>
      </c>
      <c r="C2134" t="s">
        <v>560</v>
      </c>
      <c r="D2134" t="s">
        <v>41</v>
      </c>
      <c r="E2134" t="s">
        <v>145</v>
      </c>
      <c r="F2134" t="s">
        <v>326</v>
      </c>
      <c r="G2134">
        <v>44074</v>
      </c>
    </row>
    <row r="2135" spans="1:7" x14ac:dyDescent="0.35">
      <c r="A2135">
        <v>2025</v>
      </c>
      <c r="B2135">
        <v>9</v>
      </c>
      <c r="C2135" t="s">
        <v>560</v>
      </c>
      <c r="D2135" t="s">
        <v>7</v>
      </c>
      <c r="E2135" t="s">
        <v>147</v>
      </c>
      <c r="F2135" t="s">
        <v>328</v>
      </c>
      <c r="G2135">
        <v>84272</v>
      </c>
    </row>
    <row r="2136" spans="1:7" x14ac:dyDescent="0.35">
      <c r="A2136">
        <v>2025</v>
      </c>
      <c r="B2136">
        <v>9</v>
      </c>
      <c r="C2136" t="s">
        <v>560</v>
      </c>
      <c r="D2136" t="s">
        <v>67</v>
      </c>
      <c r="E2136" t="s">
        <v>148</v>
      </c>
      <c r="F2136" t="s">
        <v>329</v>
      </c>
      <c r="G2136">
        <v>5492</v>
      </c>
    </row>
    <row r="2137" spans="1:7" x14ac:dyDescent="0.35">
      <c r="A2137">
        <v>2025</v>
      </c>
      <c r="B2137">
        <v>9</v>
      </c>
      <c r="C2137" t="s">
        <v>560</v>
      </c>
      <c r="D2137" t="s">
        <v>67</v>
      </c>
      <c r="E2137" t="s">
        <v>149</v>
      </c>
      <c r="F2137" t="s">
        <v>330</v>
      </c>
      <c r="G2137">
        <v>4096</v>
      </c>
    </row>
    <row r="2138" spans="1:7" x14ac:dyDescent="0.35">
      <c r="A2138">
        <v>2025</v>
      </c>
      <c r="B2138">
        <v>9</v>
      </c>
      <c r="C2138" t="s">
        <v>560</v>
      </c>
      <c r="D2138" t="s">
        <v>67</v>
      </c>
      <c r="E2138" t="s">
        <v>150</v>
      </c>
      <c r="F2138" t="s">
        <v>331</v>
      </c>
      <c r="G2138">
        <v>172231</v>
      </c>
    </row>
    <row r="2139" spans="1:7" x14ac:dyDescent="0.35">
      <c r="A2139">
        <v>2025</v>
      </c>
      <c r="B2139">
        <v>9</v>
      </c>
      <c r="C2139" t="s">
        <v>560</v>
      </c>
      <c r="D2139" t="s">
        <v>67</v>
      </c>
      <c r="E2139" t="s">
        <v>151</v>
      </c>
      <c r="F2139" t="s">
        <v>332</v>
      </c>
      <c r="G2139">
        <v>11061</v>
      </c>
    </row>
    <row r="2140" spans="1:7" x14ac:dyDescent="0.35">
      <c r="A2140">
        <v>2025</v>
      </c>
      <c r="B2140">
        <v>9</v>
      </c>
      <c r="C2140" t="s">
        <v>560</v>
      </c>
      <c r="D2140" t="s">
        <v>67</v>
      </c>
      <c r="E2140" t="s">
        <v>152</v>
      </c>
      <c r="F2140" t="s">
        <v>333</v>
      </c>
      <c r="G2140">
        <v>11863</v>
      </c>
    </row>
    <row r="2141" spans="1:7" x14ac:dyDescent="0.35">
      <c r="A2141">
        <v>2025</v>
      </c>
      <c r="B2141">
        <v>9</v>
      </c>
      <c r="C2141" t="s">
        <v>560</v>
      </c>
      <c r="D2141" t="s">
        <v>93</v>
      </c>
      <c r="E2141" t="s">
        <v>153</v>
      </c>
      <c r="F2141" t="s">
        <v>334</v>
      </c>
      <c r="G2141">
        <v>23888.720000000001</v>
      </c>
    </row>
    <row r="2142" spans="1:7" x14ac:dyDescent="0.35">
      <c r="A2142">
        <v>2025</v>
      </c>
      <c r="B2142">
        <v>9</v>
      </c>
      <c r="C2142" t="s">
        <v>560</v>
      </c>
      <c r="D2142" t="s">
        <v>93</v>
      </c>
      <c r="E2142" t="s">
        <v>154</v>
      </c>
      <c r="F2142" t="s">
        <v>335</v>
      </c>
      <c r="G2142">
        <v>36293.49</v>
      </c>
    </row>
    <row r="2143" spans="1:7" x14ac:dyDescent="0.35">
      <c r="A2143">
        <v>2025</v>
      </c>
      <c r="B2143">
        <v>9</v>
      </c>
      <c r="C2143" t="s">
        <v>560</v>
      </c>
      <c r="D2143" t="s">
        <v>89</v>
      </c>
      <c r="E2143" t="s">
        <v>155</v>
      </c>
      <c r="F2143" t="s">
        <v>336</v>
      </c>
      <c r="G2143">
        <v>-64994.96</v>
      </c>
    </row>
    <row r="2144" spans="1:7" x14ac:dyDescent="0.35">
      <c r="A2144">
        <v>2025</v>
      </c>
      <c r="B2144">
        <v>9</v>
      </c>
      <c r="C2144" t="s">
        <v>560</v>
      </c>
      <c r="D2144" t="s">
        <v>89</v>
      </c>
      <c r="E2144" t="s">
        <v>156</v>
      </c>
      <c r="F2144" t="s">
        <v>337</v>
      </c>
      <c r="G2144">
        <v>309499.8</v>
      </c>
    </row>
    <row r="2145" spans="1:7" x14ac:dyDescent="0.35">
      <c r="A2145">
        <v>2025</v>
      </c>
      <c r="B2145">
        <v>9</v>
      </c>
      <c r="C2145" t="s">
        <v>560</v>
      </c>
      <c r="D2145" t="s">
        <v>61</v>
      </c>
      <c r="E2145" t="s">
        <v>262</v>
      </c>
      <c r="F2145" t="s">
        <v>442</v>
      </c>
      <c r="G2145">
        <v>5770</v>
      </c>
    </row>
    <row r="2146" spans="1:7" x14ac:dyDescent="0.35">
      <c r="A2146">
        <v>2025</v>
      </c>
      <c r="B2146">
        <v>9</v>
      </c>
      <c r="C2146" t="s">
        <v>560</v>
      </c>
      <c r="D2146" t="s">
        <v>8</v>
      </c>
      <c r="E2146" t="s">
        <v>157</v>
      </c>
      <c r="F2146" t="s">
        <v>338</v>
      </c>
      <c r="G2146">
        <v>5224</v>
      </c>
    </row>
    <row r="2147" spans="1:7" x14ac:dyDescent="0.35">
      <c r="A2147">
        <v>2025</v>
      </c>
      <c r="B2147">
        <v>9</v>
      </c>
      <c r="C2147" t="s">
        <v>560</v>
      </c>
      <c r="D2147" t="s">
        <v>20</v>
      </c>
      <c r="E2147" t="s">
        <v>158</v>
      </c>
      <c r="F2147" t="s">
        <v>339</v>
      </c>
      <c r="G2147">
        <v>1872084</v>
      </c>
    </row>
    <row r="2148" spans="1:7" x14ac:dyDescent="0.35">
      <c r="A2148">
        <v>2025</v>
      </c>
      <c r="B2148">
        <v>9</v>
      </c>
      <c r="C2148" t="s">
        <v>560</v>
      </c>
      <c r="D2148" t="s">
        <v>21</v>
      </c>
      <c r="E2148" t="s">
        <v>159</v>
      </c>
      <c r="F2148" t="s">
        <v>340</v>
      </c>
      <c r="G2148">
        <v>115940</v>
      </c>
    </row>
    <row r="2149" spans="1:7" x14ac:dyDescent="0.35">
      <c r="A2149">
        <v>2025</v>
      </c>
      <c r="B2149">
        <v>9</v>
      </c>
      <c r="C2149" t="s">
        <v>560</v>
      </c>
      <c r="D2149" t="s">
        <v>160</v>
      </c>
      <c r="E2149" t="s">
        <v>161</v>
      </c>
      <c r="F2149" t="s">
        <v>341</v>
      </c>
      <c r="G2149">
        <v>13790</v>
      </c>
    </row>
    <row r="2150" spans="1:7" x14ac:dyDescent="0.35">
      <c r="A2150">
        <v>2025</v>
      </c>
      <c r="B2150">
        <v>9</v>
      </c>
      <c r="C2150" t="s">
        <v>560</v>
      </c>
      <c r="D2150" t="s">
        <v>32</v>
      </c>
      <c r="E2150" t="s">
        <v>162</v>
      </c>
      <c r="F2150" t="s">
        <v>342</v>
      </c>
      <c r="G2150">
        <v>454</v>
      </c>
    </row>
    <row r="2151" spans="1:7" x14ac:dyDescent="0.35">
      <c r="A2151">
        <v>2025</v>
      </c>
      <c r="B2151">
        <v>9</v>
      </c>
      <c r="C2151" t="s">
        <v>560</v>
      </c>
      <c r="D2151" t="s">
        <v>22</v>
      </c>
      <c r="E2151" t="s">
        <v>165</v>
      </c>
      <c r="F2151" t="s">
        <v>344</v>
      </c>
      <c r="G2151">
        <v>15859</v>
      </c>
    </row>
    <row r="2152" spans="1:7" x14ac:dyDescent="0.35">
      <c r="A2152">
        <v>2025</v>
      </c>
      <c r="B2152">
        <v>9</v>
      </c>
      <c r="C2152" t="s">
        <v>560</v>
      </c>
      <c r="D2152" t="s">
        <v>27</v>
      </c>
      <c r="E2152" t="s">
        <v>166</v>
      </c>
      <c r="F2152" t="s">
        <v>345</v>
      </c>
      <c r="G2152">
        <v>28000</v>
      </c>
    </row>
    <row r="2153" spans="1:7" x14ac:dyDescent="0.35">
      <c r="A2153">
        <v>2025</v>
      </c>
      <c r="B2153">
        <v>9</v>
      </c>
      <c r="C2153" t="s">
        <v>560</v>
      </c>
      <c r="D2153" t="s">
        <v>167</v>
      </c>
      <c r="E2153" t="s">
        <v>167</v>
      </c>
      <c r="F2153" t="s">
        <v>346</v>
      </c>
      <c r="G2153">
        <v>306433</v>
      </c>
    </row>
    <row r="2154" spans="1:7" x14ac:dyDescent="0.35">
      <c r="A2154">
        <v>2025</v>
      </c>
      <c r="B2154">
        <v>9</v>
      </c>
      <c r="C2154" t="s">
        <v>560</v>
      </c>
      <c r="D2154" t="s">
        <v>9</v>
      </c>
      <c r="E2154" t="s">
        <v>168</v>
      </c>
      <c r="F2154" t="s">
        <v>347</v>
      </c>
      <c r="G2154">
        <v>-9518</v>
      </c>
    </row>
    <row r="2155" spans="1:7" x14ac:dyDescent="0.35">
      <c r="A2155">
        <v>2025</v>
      </c>
      <c r="B2155">
        <v>9</v>
      </c>
      <c r="C2155" t="s">
        <v>560</v>
      </c>
      <c r="D2155" t="s">
        <v>9</v>
      </c>
      <c r="E2155" t="s">
        <v>169</v>
      </c>
      <c r="F2155" t="s">
        <v>348</v>
      </c>
      <c r="G2155">
        <v>3680</v>
      </c>
    </row>
    <row r="2156" spans="1:7" x14ac:dyDescent="0.35">
      <c r="A2156">
        <v>2025</v>
      </c>
      <c r="B2156">
        <v>9</v>
      </c>
      <c r="C2156" t="s">
        <v>560</v>
      </c>
      <c r="D2156" t="s">
        <v>72</v>
      </c>
      <c r="E2156" t="s">
        <v>170</v>
      </c>
      <c r="F2156" t="s">
        <v>349</v>
      </c>
      <c r="G2156">
        <v>153749</v>
      </c>
    </row>
    <row r="2157" spans="1:7" x14ac:dyDescent="0.35">
      <c r="A2157">
        <v>2025</v>
      </c>
      <c r="B2157">
        <v>9</v>
      </c>
      <c r="C2157" t="s">
        <v>560</v>
      </c>
      <c r="D2157" t="s">
        <v>39</v>
      </c>
      <c r="E2157" t="s">
        <v>171</v>
      </c>
      <c r="F2157" t="s">
        <v>350</v>
      </c>
      <c r="G2157">
        <v>286</v>
      </c>
    </row>
    <row r="2158" spans="1:7" x14ac:dyDescent="0.35">
      <c r="A2158">
        <v>2025</v>
      </c>
      <c r="B2158">
        <v>9</v>
      </c>
      <c r="C2158" t="s">
        <v>560</v>
      </c>
      <c r="D2158" t="s">
        <v>10</v>
      </c>
      <c r="E2158" t="s">
        <v>172</v>
      </c>
      <c r="F2158" t="s">
        <v>351</v>
      </c>
      <c r="G2158">
        <v>5906</v>
      </c>
    </row>
    <row r="2159" spans="1:7" x14ac:dyDescent="0.35">
      <c r="A2159">
        <v>2025</v>
      </c>
      <c r="B2159">
        <v>9</v>
      </c>
      <c r="C2159" t="s">
        <v>560</v>
      </c>
      <c r="D2159" t="s">
        <v>66</v>
      </c>
      <c r="E2159" t="s">
        <v>173</v>
      </c>
      <c r="F2159" t="s">
        <v>352</v>
      </c>
      <c r="G2159">
        <v>422384</v>
      </c>
    </row>
    <row r="2160" spans="1:7" x14ac:dyDescent="0.35">
      <c r="A2160">
        <v>2025</v>
      </c>
      <c r="B2160">
        <v>9</v>
      </c>
      <c r="C2160" t="s">
        <v>560</v>
      </c>
      <c r="D2160" t="s">
        <v>66</v>
      </c>
      <c r="E2160" t="s">
        <v>174</v>
      </c>
      <c r="F2160" t="s">
        <v>353</v>
      </c>
      <c r="G2160">
        <v>73850</v>
      </c>
    </row>
    <row r="2161" spans="1:7" x14ac:dyDescent="0.35">
      <c r="A2161">
        <v>2025</v>
      </c>
      <c r="B2161">
        <v>9</v>
      </c>
      <c r="C2161" t="s">
        <v>560</v>
      </c>
      <c r="D2161" t="s">
        <v>66</v>
      </c>
      <c r="E2161" t="s">
        <v>175</v>
      </c>
      <c r="F2161" t="s">
        <v>354</v>
      </c>
      <c r="G2161">
        <v>483</v>
      </c>
    </row>
    <row r="2162" spans="1:7" x14ac:dyDescent="0.35">
      <c r="A2162">
        <v>2025</v>
      </c>
      <c r="B2162">
        <v>9</v>
      </c>
      <c r="C2162" t="s">
        <v>560</v>
      </c>
      <c r="D2162" t="s">
        <v>66</v>
      </c>
      <c r="E2162" t="s">
        <v>176</v>
      </c>
      <c r="F2162" t="s">
        <v>355</v>
      </c>
      <c r="G2162">
        <v>43554</v>
      </c>
    </row>
    <row r="2163" spans="1:7" x14ac:dyDescent="0.35">
      <c r="A2163">
        <v>2025</v>
      </c>
      <c r="B2163">
        <v>9</v>
      </c>
      <c r="C2163" t="s">
        <v>560</v>
      </c>
      <c r="D2163" t="s">
        <v>66</v>
      </c>
      <c r="E2163" t="s">
        <v>177</v>
      </c>
      <c r="F2163" t="s">
        <v>356</v>
      </c>
      <c r="G2163">
        <v>40239</v>
      </c>
    </row>
    <row r="2164" spans="1:7" x14ac:dyDescent="0.35">
      <c r="A2164">
        <v>2025</v>
      </c>
      <c r="B2164">
        <v>9</v>
      </c>
      <c r="C2164" t="s">
        <v>560</v>
      </c>
      <c r="D2164" t="s">
        <v>11</v>
      </c>
      <c r="E2164" t="s">
        <v>179</v>
      </c>
      <c r="F2164" t="s">
        <v>180</v>
      </c>
      <c r="G2164">
        <v>9147</v>
      </c>
    </row>
    <row r="2165" spans="1:7" x14ac:dyDescent="0.35">
      <c r="A2165">
        <v>2025</v>
      </c>
      <c r="B2165">
        <v>9</v>
      </c>
      <c r="C2165" t="s">
        <v>560</v>
      </c>
      <c r="D2165" t="s">
        <v>74</v>
      </c>
      <c r="E2165" t="s">
        <v>205</v>
      </c>
      <c r="F2165" t="s">
        <v>384</v>
      </c>
      <c r="G2165">
        <v>11979</v>
      </c>
    </row>
    <row r="2166" spans="1:7" x14ac:dyDescent="0.35">
      <c r="A2166">
        <v>2025</v>
      </c>
      <c r="B2166">
        <v>9</v>
      </c>
      <c r="C2166" t="s">
        <v>560</v>
      </c>
      <c r="D2166" t="s">
        <v>74</v>
      </c>
      <c r="E2166" t="s">
        <v>267</v>
      </c>
      <c r="F2166" t="s">
        <v>447</v>
      </c>
      <c r="G2166">
        <v>4240</v>
      </c>
    </row>
    <row r="2167" spans="1:7" x14ac:dyDescent="0.35">
      <c r="A2167">
        <v>2025</v>
      </c>
      <c r="B2167">
        <v>9</v>
      </c>
      <c r="C2167" t="s">
        <v>560</v>
      </c>
      <c r="D2167" t="s">
        <v>74</v>
      </c>
      <c r="E2167" t="s">
        <v>186</v>
      </c>
      <c r="F2167" t="s">
        <v>364</v>
      </c>
      <c r="G2167">
        <v>13322</v>
      </c>
    </row>
    <row r="2168" spans="1:7" x14ac:dyDescent="0.35">
      <c r="A2168">
        <v>2025</v>
      </c>
      <c r="B2168">
        <v>9</v>
      </c>
      <c r="C2168" t="s">
        <v>560</v>
      </c>
      <c r="D2168" t="s">
        <v>85</v>
      </c>
      <c r="E2168" t="s">
        <v>188</v>
      </c>
      <c r="F2168" t="s">
        <v>366</v>
      </c>
      <c r="G2168">
        <v>744420.04</v>
      </c>
    </row>
    <row r="2169" spans="1:7" x14ac:dyDescent="0.35">
      <c r="A2169">
        <v>2025</v>
      </c>
      <c r="B2169">
        <v>9</v>
      </c>
      <c r="C2169" t="s">
        <v>560</v>
      </c>
      <c r="D2169" t="s">
        <v>106</v>
      </c>
      <c r="E2169" t="s">
        <v>189</v>
      </c>
      <c r="F2169" t="s">
        <v>367</v>
      </c>
      <c r="G2169">
        <v>3978615</v>
      </c>
    </row>
    <row r="2170" spans="1:7" x14ac:dyDescent="0.35">
      <c r="A2170">
        <v>2025</v>
      </c>
      <c r="B2170">
        <v>9</v>
      </c>
      <c r="C2170" t="s">
        <v>560</v>
      </c>
      <c r="D2170" t="s">
        <v>106</v>
      </c>
      <c r="E2170" t="s">
        <v>190</v>
      </c>
      <c r="F2170" t="s">
        <v>368</v>
      </c>
      <c r="G2170">
        <v>76746</v>
      </c>
    </row>
    <row r="2171" spans="1:7" x14ac:dyDescent="0.35">
      <c r="A2171">
        <v>2025</v>
      </c>
      <c r="B2171">
        <v>9</v>
      </c>
      <c r="C2171" t="s">
        <v>560</v>
      </c>
      <c r="D2171" t="s">
        <v>106</v>
      </c>
      <c r="E2171" t="s">
        <v>191</v>
      </c>
      <c r="F2171" t="s">
        <v>369</v>
      </c>
      <c r="G2171">
        <v>955851</v>
      </c>
    </row>
    <row r="2172" spans="1:7" x14ac:dyDescent="0.35">
      <c r="A2172">
        <v>2025</v>
      </c>
      <c r="B2172">
        <v>9</v>
      </c>
      <c r="C2172" t="s">
        <v>560</v>
      </c>
      <c r="D2172" t="s">
        <v>106</v>
      </c>
      <c r="E2172" t="s">
        <v>192</v>
      </c>
      <c r="F2172" t="s">
        <v>370</v>
      </c>
      <c r="G2172">
        <v>346883</v>
      </c>
    </row>
    <row r="2173" spans="1:7" x14ac:dyDescent="0.35">
      <c r="A2173">
        <v>2025</v>
      </c>
      <c r="B2173">
        <v>9</v>
      </c>
      <c r="C2173" t="s">
        <v>560</v>
      </c>
      <c r="D2173" t="s">
        <v>106</v>
      </c>
      <c r="E2173" t="s">
        <v>284</v>
      </c>
      <c r="F2173" t="s">
        <v>464</v>
      </c>
      <c r="G2173">
        <v>94205</v>
      </c>
    </row>
    <row r="2174" spans="1:7" x14ac:dyDescent="0.35">
      <c r="A2174">
        <v>2025</v>
      </c>
      <c r="B2174">
        <v>9</v>
      </c>
      <c r="C2174" t="s">
        <v>560</v>
      </c>
      <c r="D2174" t="s">
        <v>106</v>
      </c>
      <c r="E2174" t="s">
        <v>193</v>
      </c>
      <c r="F2174" t="s">
        <v>371</v>
      </c>
      <c r="G2174">
        <v>27600</v>
      </c>
    </row>
    <row r="2175" spans="1:7" x14ac:dyDescent="0.35">
      <c r="A2175">
        <v>2025</v>
      </c>
      <c r="B2175">
        <v>9</v>
      </c>
      <c r="C2175" t="s">
        <v>560</v>
      </c>
      <c r="D2175" t="s">
        <v>106</v>
      </c>
      <c r="E2175" t="s">
        <v>194</v>
      </c>
      <c r="F2175" t="s">
        <v>372</v>
      </c>
      <c r="G2175">
        <v>700</v>
      </c>
    </row>
    <row r="2176" spans="1:7" x14ac:dyDescent="0.35">
      <c r="A2176">
        <v>2025</v>
      </c>
      <c r="B2176">
        <v>9</v>
      </c>
      <c r="C2176" t="s">
        <v>560</v>
      </c>
      <c r="D2176" t="s">
        <v>106</v>
      </c>
      <c r="E2176" t="s">
        <v>195</v>
      </c>
      <c r="F2176" t="s">
        <v>373</v>
      </c>
      <c r="G2176">
        <v>126145</v>
      </c>
    </row>
    <row r="2177" spans="1:7" x14ac:dyDescent="0.35">
      <c r="A2177">
        <v>2025</v>
      </c>
      <c r="B2177">
        <v>9</v>
      </c>
      <c r="C2177" t="s">
        <v>560</v>
      </c>
      <c r="D2177" t="s">
        <v>75</v>
      </c>
      <c r="E2177" t="s">
        <v>204</v>
      </c>
      <c r="F2177" t="s">
        <v>383</v>
      </c>
      <c r="G2177">
        <v>488260</v>
      </c>
    </row>
    <row r="2178" spans="1:7" x14ac:dyDescent="0.35">
      <c r="A2178">
        <v>2025</v>
      </c>
      <c r="B2178">
        <v>9</v>
      </c>
      <c r="C2178" t="s">
        <v>560</v>
      </c>
      <c r="D2178" t="s">
        <v>23</v>
      </c>
      <c r="E2178" t="s">
        <v>206</v>
      </c>
      <c r="F2178" t="s">
        <v>385</v>
      </c>
      <c r="G2178">
        <v>37515</v>
      </c>
    </row>
    <row r="2179" spans="1:7" x14ac:dyDescent="0.35">
      <c r="A2179">
        <v>2025</v>
      </c>
      <c r="B2179">
        <v>9</v>
      </c>
      <c r="C2179" t="s">
        <v>560</v>
      </c>
      <c r="D2179" t="s">
        <v>24</v>
      </c>
      <c r="E2179" t="s">
        <v>207</v>
      </c>
      <c r="F2179" t="s">
        <v>386</v>
      </c>
      <c r="G2179">
        <v>89878</v>
      </c>
    </row>
    <row r="2180" spans="1:7" x14ac:dyDescent="0.35">
      <c r="A2180">
        <v>2025</v>
      </c>
      <c r="B2180">
        <v>9</v>
      </c>
      <c r="C2180" t="s">
        <v>560</v>
      </c>
      <c r="D2180" t="s">
        <v>519</v>
      </c>
      <c r="E2180" t="s">
        <v>203</v>
      </c>
      <c r="F2180" t="s">
        <v>381</v>
      </c>
      <c r="G2180">
        <v>2686</v>
      </c>
    </row>
    <row r="2181" spans="1:7" x14ac:dyDescent="0.35">
      <c r="A2181">
        <v>2025</v>
      </c>
      <c r="B2181">
        <v>9</v>
      </c>
      <c r="C2181" t="s">
        <v>560</v>
      </c>
      <c r="D2181" t="s">
        <v>519</v>
      </c>
      <c r="E2181" t="s">
        <v>196</v>
      </c>
      <c r="F2181" t="s">
        <v>382</v>
      </c>
      <c r="G2181">
        <v>83.65</v>
      </c>
    </row>
    <row r="2182" spans="1:7" x14ac:dyDescent="0.35">
      <c r="A2182">
        <v>2025</v>
      </c>
      <c r="B2182">
        <v>9</v>
      </c>
      <c r="C2182" t="s">
        <v>560</v>
      </c>
      <c r="D2182" t="s">
        <v>520</v>
      </c>
      <c r="E2182" t="s">
        <v>134</v>
      </c>
      <c r="F2182" t="s">
        <v>315</v>
      </c>
      <c r="G2182">
        <v>9696</v>
      </c>
    </row>
    <row r="2183" spans="1:7" x14ac:dyDescent="0.35">
      <c r="A2183">
        <v>2025</v>
      </c>
      <c r="B2183">
        <v>9</v>
      </c>
      <c r="C2183" t="s">
        <v>560</v>
      </c>
      <c r="D2183" t="s">
        <v>520</v>
      </c>
      <c r="E2183" t="s">
        <v>196</v>
      </c>
      <c r="F2183" t="s">
        <v>374</v>
      </c>
      <c r="G2183">
        <v>7</v>
      </c>
    </row>
    <row r="2184" spans="1:7" x14ac:dyDescent="0.35">
      <c r="A2184">
        <v>2025</v>
      </c>
      <c r="B2184">
        <v>9</v>
      </c>
      <c r="C2184" t="s">
        <v>560</v>
      </c>
      <c r="D2184" t="s">
        <v>520</v>
      </c>
      <c r="E2184" t="s">
        <v>200</v>
      </c>
      <c r="F2184" t="s">
        <v>378</v>
      </c>
      <c r="G2184">
        <v>2951</v>
      </c>
    </row>
    <row r="2185" spans="1:7" x14ac:dyDescent="0.35">
      <c r="A2185">
        <v>2025</v>
      </c>
      <c r="B2185">
        <v>9</v>
      </c>
      <c r="C2185" t="s">
        <v>560</v>
      </c>
      <c r="D2185" t="s">
        <v>33</v>
      </c>
      <c r="E2185" t="s">
        <v>209</v>
      </c>
      <c r="F2185" t="s">
        <v>388</v>
      </c>
      <c r="G2185">
        <v>67194</v>
      </c>
    </row>
    <row r="2186" spans="1:7" x14ac:dyDescent="0.35">
      <c r="A2186">
        <v>2025</v>
      </c>
      <c r="B2186">
        <v>9</v>
      </c>
      <c r="C2186" t="s">
        <v>560</v>
      </c>
      <c r="D2186" t="s">
        <v>12</v>
      </c>
      <c r="E2186" t="s">
        <v>213</v>
      </c>
      <c r="F2186" t="s">
        <v>392</v>
      </c>
      <c r="G2186">
        <v>1866</v>
      </c>
    </row>
    <row r="2187" spans="1:7" x14ac:dyDescent="0.35">
      <c r="A2187">
        <v>2025</v>
      </c>
      <c r="B2187">
        <v>9</v>
      </c>
      <c r="C2187" t="s">
        <v>560</v>
      </c>
      <c r="D2187" t="s">
        <v>12</v>
      </c>
      <c r="E2187" t="s">
        <v>214</v>
      </c>
      <c r="F2187" t="s">
        <v>394</v>
      </c>
      <c r="G2187">
        <v>4100</v>
      </c>
    </row>
    <row r="2188" spans="1:7" x14ac:dyDescent="0.35">
      <c r="A2188">
        <v>2025</v>
      </c>
      <c r="B2188">
        <v>9</v>
      </c>
      <c r="C2188" t="s">
        <v>560</v>
      </c>
      <c r="D2188" t="s">
        <v>12</v>
      </c>
      <c r="E2188" t="s">
        <v>220</v>
      </c>
      <c r="F2188" t="s">
        <v>400</v>
      </c>
      <c r="G2188">
        <v>4028</v>
      </c>
    </row>
    <row r="2189" spans="1:7" x14ac:dyDescent="0.35">
      <c r="A2189">
        <v>2025</v>
      </c>
      <c r="B2189">
        <v>9</v>
      </c>
      <c r="C2189" t="s">
        <v>560</v>
      </c>
      <c r="D2189" t="s">
        <v>12</v>
      </c>
      <c r="E2189" t="s">
        <v>222</v>
      </c>
      <c r="F2189" t="s">
        <v>402</v>
      </c>
      <c r="G2189">
        <v>2839</v>
      </c>
    </row>
    <row r="2190" spans="1:7" x14ac:dyDescent="0.35">
      <c r="A2190">
        <v>2025</v>
      </c>
      <c r="B2190">
        <v>9</v>
      </c>
      <c r="C2190" t="s">
        <v>560</v>
      </c>
      <c r="D2190" t="s">
        <v>28</v>
      </c>
      <c r="E2190" t="s">
        <v>223</v>
      </c>
      <c r="F2190" t="s">
        <v>403</v>
      </c>
      <c r="G2190">
        <v>48679</v>
      </c>
    </row>
    <row r="2191" spans="1:7" x14ac:dyDescent="0.35">
      <c r="A2191">
        <v>2025</v>
      </c>
      <c r="B2191">
        <v>9</v>
      </c>
      <c r="C2191" t="s">
        <v>560</v>
      </c>
      <c r="D2191" t="s">
        <v>28</v>
      </c>
      <c r="E2191" t="s">
        <v>224</v>
      </c>
      <c r="F2191" t="s">
        <v>404</v>
      </c>
      <c r="G2191">
        <v>21523</v>
      </c>
    </row>
    <row r="2192" spans="1:7" x14ac:dyDescent="0.35">
      <c r="A2192">
        <v>2025</v>
      </c>
      <c r="B2192">
        <v>9</v>
      </c>
      <c r="C2192" t="s">
        <v>560</v>
      </c>
      <c r="D2192" t="s">
        <v>64</v>
      </c>
      <c r="E2192" t="s">
        <v>225</v>
      </c>
      <c r="F2192" t="s">
        <v>405</v>
      </c>
      <c r="G2192">
        <v>3866</v>
      </c>
    </row>
    <row r="2193" spans="1:7" x14ac:dyDescent="0.35">
      <c r="A2193">
        <v>2025</v>
      </c>
      <c r="B2193">
        <v>9</v>
      </c>
      <c r="C2193" t="s">
        <v>560</v>
      </c>
      <c r="D2193" t="s">
        <v>29</v>
      </c>
      <c r="E2193" t="s">
        <v>226</v>
      </c>
      <c r="F2193" t="s">
        <v>406</v>
      </c>
      <c r="G2193">
        <v>1599</v>
      </c>
    </row>
    <row r="2194" spans="1:7" x14ac:dyDescent="0.35">
      <c r="A2194">
        <v>2025</v>
      </c>
      <c r="B2194">
        <v>9</v>
      </c>
      <c r="C2194" t="s">
        <v>560</v>
      </c>
      <c r="D2194" t="s">
        <v>102</v>
      </c>
      <c r="E2194" t="s">
        <v>227</v>
      </c>
      <c r="F2194" t="s">
        <v>407</v>
      </c>
      <c r="G2194">
        <v>-69839</v>
      </c>
    </row>
    <row r="2195" spans="1:7" x14ac:dyDescent="0.35">
      <c r="A2195">
        <v>2025</v>
      </c>
      <c r="B2195">
        <v>9</v>
      </c>
      <c r="C2195" t="s">
        <v>560</v>
      </c>
      <c r="D2195" t="s">
        <v>25</v>
      </c>
      <c r="E2195" t="s">
        <v>274</v>
      </c>
      <c r="F2195" t="s">
        <v>454</v>
      </c>
      <c r="G2195">
        <v>78448</v>
      </c>
    </row>
    <row r="2196" spans="1:7" x14ac:dyDescent="0.35">
      <c r="A2196">
        <v>2025</v>
      </c>
      <c r="B2196">
        <v>9</v>
      </c>
      <c r="C2196" t="s">
        <v>560</v>
      </c>
      <c r="D2196" t="s">
        <v>229</v>
      </c>
      <c r="E2196" t="s">
        <v>230</v>
      </c>
      <c r="F2196" t="s">
        <v>409</v>
      </c>
      <c r="G2196">
        <v>103428</v>
      </c>
    </row>
    <row r="2197" spans="1:7" x14ac:dyDescent="0.35">
      <c r="A2197">
        <v>2025</v>
      </c>
      <c r="B2197">
        <v>9</v>
      </c>
      <c r="C2197" t="s">
        <v>560</v>
      </c>
      <c r="D2197" t="s">
        <v>94</v>
      </c>
      <c r="E2197" t="s">
        <v>233</v>
      </c>
      <c r="F2197" t="s">
        <v>412</v>
      </c>
      <c r="G2197">
        <v>46097</v>
      </c>
    </row>
    <row r="2198" spans="1:7" x14ac:dyDescent="0.35">
      <c r="A2198">
        <v>2025</v>
      </c>
      <c r="B2198">
        <v>9</v>
      </c>
      <c r="C2198" t="s">
        <v>560</v>
      </c>
      <c r="D2198" t="s">
        <v>36</v>
      </c>
      <c r="E2198" t="s">
        <v>275</v>
      </c>
      <c r="F2198" t="s">
        <v>455</v>
      </c>
      <c r="G2198">
        <v>18324</v>
      </c>
    </row>
    <row r="2199" spans="1:7" x14ac:dyDescent="0.35">
      <c r="A2199">
        <v>2025</v>
      </c>
      <c r="B2199">
        <v>9</v>
      </c>
      <c r="C2199" t="s">
        <v>560</v>
      </c>
      <c r="D2199" t="s">
        <v>43</v>
      </c>
      <c r="E2199" t="s">
        <v>234</v>
      </c>
      <c r="F2199" t="s">
        <v>413</v>
      </c>
      <c r="G2199">
        <v>33075</v>
      </c>
    </row>
    <row r="2200" spans="1:7" x14ac:dyDescent="0.35">
      <c r="A2200">
        <v>2025</v>
      </c>
      <c r="B2200">
        <v>9</v>
      </c>
      <c r="C2200" t="s">
        <v>560</v>
      </c>
      <c r="D2200" t="s">
        <v>45</v>
      </c>
      <c r="E2200" t="s">
        <v>276</v>
      </c>
      <c r="F2200" t="s">
        <v>456</v>
      </c>
      <c r="G2200">
        <v>89695</v>
      </c>
    </row>
    <row r="2201" spans="1:7" x14ac:dyDescent="0.35">
      <c r="A2201">
        <v>2025</v>
      </c>
      <c r="B2201">
        <v>9</v>
      </c>
      <c r="C2201" t="s">
        <v>560</v>
      </c>
      <c r="D2201" t="s">
        <v>76</v>
      </c>
      <c r="E2201" t="s">
        <v>236</v>
      </c>
      <c r="F2201" t="s">
        <v>415</v>
      </c>
      <c r="G2201">
        <v>306433</v>
      </c>
    </row>
    <row r="2202" spans="1:7" x14ac:dyDescent="0.35">
      <c r="A2202">
        <v>2025</v>
      </c>
      <c r="B2202">
        <v>9</v>
      </c>
      <c r="C2202" t="s">
        <v>560</v>
      </c>
      <c r="D2202" t="s">
        <v>76</v>
      </c>
      <c r="E2202" t="s">
        <v>237</v>
      </c>
      <c r="F2202" t="s">
        <v>416</v>
      </c>
      <c r="G2202">
        <v>-69839.31</v>
      </c>
    </row>
    <row r="2203" spans="1:7" x14ac:dyDescent="0.35">
      <c r="A2203">
        <v>2025</v>
      </c>
      <c r="B2203">
        <v>9</v>
      </c>
      <c r="C2203" t="s">
        <v>560</v>
      </c>
      <c r="D2203" t="s">
        <v>76</v>
      </c>
      <c r="E2203" t="s">
        <v>238</v>
      </c>
      <c r="F2203" t="s">
        <v>417</v>
      </c>
      <c r="G2203">
        <v>-427404.29</v>
      </c>
    </row>
    <row r="2204" spans="1:7" x14ac:dyDescent="0.35">
      <c r="A2204">
        <v>2025</v>
      </c>
      <c r="B2204">
        <v>9</v>
      </c>
      <c r="C2204" t="s">
        <v>560</v>
      </c>
      <c r="D2204" t="s">
        <v>76</v>
      </c>
      <c r="E2204" t="s">
        <v>239</v>
      </c>
      <c r="F2204" t="s">
        <v>418</v>
      </c>
      <c r="G2204">
        <v>-3707105.39</v>
      </c>
    </row>
    <row r="2205" spans="1:7" x14ac:dyDescent="0.35">
      <c r="A2205">
        <v>2025</v>
      </c>
      <c r="B2205">
        <v>9</v>
      </c>
      <c r="C2205" t="s">
        <v>560</v>
      </c>
      <c r="D2205" t="s">
        <v>35</v>
      </c>
      <c r="E2205" t="s">
        <v>240</v>
      </c>
      <c r="F2205" t="s">
        <v>419</v>
      </c>
      <c r="G2205">
        <v>221988</v>
      </c>
    </row>
    <row r="2206" spans="1:7" x14ac:dyDescent="0.35">
      <c r="A2206">
        <v>2025</v>
      </c>
      <c r="B2206">
        <v>9</v>
      </c>
      <c r="C2206" t="s">
        <v>560</v>
      </c>
      <c r="D2206" t="s">
        <v>103</v>
      </c>
      <c r="E2206" t="s">
        <v>242</v>
      </c>
      <c r="F2206" t="s">
        <v>421</v>
      </c>
      <c r="G2206">
        <v>-427404</v>
      </c>
    </row>
    <row r="2207" spans="1:7" x14ac:dyDescent="0.35">
      <c r="A2207">
        <v>2025</v>
      </c>
      <c r="B2207">
        <v>9</v>
      </c>
      <c r="C2207" t="s">
        <v>560</v>
      </c>
      <c r="D2207" t="s">
        <v>104</v>
      </c>
      <c r="E2207" t="s">
        <v>243</v>
      </c>
      <c r="F2207" t="s">
        <v>422</v>
      </c>
      <c r="G2207">
        <v>-3707105</v>
      </c>
    </row>
    <row r="2208" spans="1:7" x14ac:dyDescent="0.35">
      <c r="A2208">
        <v>2025</v>
      </c>
      <c r="B2208">
        <v>9</v>
      </c>
      <c r="C2208" t="s">
        <v>560</v>
      </c>
      <c r="D2208" t="s">
        <v>244</v>
      </c>
      <c r="E2208" t="s">
        <v>245</v>
      </c>
      <c r="F2208" t="s">
        <v>423</v>
      </c>
      <c r="G2208">
        <v>2025340</v>
      </c>
    </row>
    <row r="2209" spans="1:7" x14ac:dyDescent="0.35">
      <c r="A2209">
        <v>2025</v>
      </c>
      <c r="B2209">
        <v>9</v>
      </c>
      <c r="C2209" t="s">
        <v>560</v>
      </c>
      <c r="D2209" t="s">
        <v>14</v>
      </c>
      <c r="E2209" t="s">
        <v>131</v>
      </c>
      <c r="F2209" t="s">
        <v>425</v>
      </c>
      <c r="G2209">
        <v>254103</v>
      </c>
    </row>
    <row r="2210" spans="1:7" x14ac:dyDescent="0.35">
      <c r="A2210">
        <v>2025</v>
      </c>
      <c r="B2210">
        <v>9</v>
      </c>
      <c r="C2210" t="s">
        <v>560</v>
      </c>
      <c r="D2210" t="s">
        <v>30</v>
      </c>
      <c r="E2210" t="s">
        <v>247</v>
      </c>
      <c r="F2210" t="s">
        <v>426</v>
      </c>
      <c r="G2210">
        <v>31031</v>
      </c>
    </row>
    <row r="2211" spans="1:7" x14ac:dyDescent="0.35">
      <c r="A2211">
        <v>2025</v>
      </c>
      <c r="B2211">
        <v>9</v>
      </c>
      <c r="C2211" t="s">
        <v>560</v>
      </c>
      <c r="D2211" t="s">
        <v>15</v>
      </c>
      <c r="E2211" t="s">
        <v>248</v>
      </c>
      <c r="F2211" t="s">
        <v>427</v>
      </c>
      <c r="G2211">
        <v>27954</v>
      </c>
    </row>
    <row r="2212" spans="1:7" x14ac:dyDescent="0.35">
      <c r="A2212">
        <v>2025</v>
      </c>
      <c r="B2212">
        <v>9</v>
      </c>
      <c r="C2212" t="s">
        <v>560</v>
      </c>
      <c r="D2212" t="s">
        <v>90</v>
      </c>
      <c r="E2212" t="s">
        <v>249</v>
      </c>
      <c r="F2212" t="s">
        <v>428</v>
      </c>
      <c r="G2212">
        <v>6982</v>
      </c>
    </row>
    <row r="2213" spans="1:7" x14ac:dyDescent="0.35">
      <c r="A2213">
        <v>2025</v>
      </c>
      <c r="B2213">
        <v>9</v>
      </c>
      <c r="C2213" t="s">
        <v>560</v>
      </c>
      <c r="D2213" t="s">
        <v>84</v>
      </c>
      <c r="E2213" t="s">
        <v>250</v>
      </c>
      <c r="F2213" t="s">
        <v>429</v>
      </c>
      <c r="G2213">
        <v>1497758.09</v>
      </c>
    </row>
    <row r="2214" spans="1:7" x14ac:dyDescent="0.35">
      <c r="A2214">
        <v>2025</v>
      </c>
      <c r="B2214">
        <v>9</v>
      </c>
      <c r="C2214" t="s">
        <v>560</v>
      </c>
      <c r="D2214" t="s">
        <v>81</v>
      </c>
      <c r="E2214" t="s">
        <v>251</v>
      </c>
      <c r="F2214" t="s">
        <v>430</v>
      </c>
      <c r="G2214">
        <v>730904.4</v>
      </c>
    </row>
    <row r="2215" spans="1:7" x14ac:dyDescent="0.35">
      <c r="A2215">
        <v>2025</v>
      </c>
      <c r="B2215">
        <v>9</v>
      </c>
      <c r="C2215" t="s">
        <v>560</v>
      </c>
      <c r="D2215" t="s">
        <v>81</v>
      </c>
      <c r="E2215" t="s">
        <v>252</v>
      </c>
      <c r="F2215" t="s">
        <v>431</v>
      </c>
      <c r="G2215">
        <v>8425549.3200000003</v>
      </c>
    </row>
    <row r="2216" spans="1:7" x14ac:dyDescent="0.35">
      <c r="A2216">
        <v>2025</v>
      </c>
      <c r="B2216">
        <v>9</v>
      </c>
      <c r="C2216" t="s">
        <v>560</v>
      </c>
      <c r="D2216" t="s">
        <v>81</v>
      </c>
      <c r="E2216" t="s">
        <v>289</v>
      </c>
      <c r="F2216" t="s">
        <v>471</v>
      </c>
      <c r="G2216">
        <v>1784640</v>
      </c>
    </row>
    <row r="2217" spans="1:7" x14ac:dyDescent="0.35">
      <c r="A2217">
        <v>2025</v>
      </c>
      <c r="B2217">
        <v>9</v>
      </c>
      <c r="C2217" t="s">
        <v>560</v>
      </c>
      <c r="D2217" t="s">
        <v>44</v>
      </c>
      <c r="E2217" t="s">
        <v>253</v>
      </c>
      <c r="F2217" t="s">
        <v>432</v>
      </c>
      <c r="G2217">
        <v>82616</v>
      </c>
    </row>
    <row r="2218" spans="1:7" x14ac:dyDescent="0.35">
      <c r="A2218">
        <v>2025</v>
      </c>
      <c r="B2218">
        <v>9</v>
      </c>
      <c r="C2218" t="s">
        <v>560</v>
      </c>
      <c r="D2218" t="s">
        <v>16</v>
      </c>
      <c r="E2218" t="s">
        <v>254</v>
      </c>
      <c r="F2218" t="s">
        <v>433</v>
      </c>
      <c r="G2218">
        <v>28912</v>
      </c>
    </row>
    <row r="2219" spans="1:7" x14ac:dyDescent="0.35">
      <c r="A2219">
        <v>2025</v>
      </c>
      <c r="B2219">
        <v>9</v>
      </c>
      <c r="C2219" t="s">
        <v>560</v>
      </c>
      <c r="D2219" t="s">
        <v>34</v>
      </c>
      <c r="E2219" t="s">
        <v>278</v>
      </c>
      <c r="F2219" t="s">
        <v>458</v>
      </c>
      <c r="G2219">
        <v>166805</v>
      </c>
    </row>
    <row r="2220" spans="1:7" x14ac:dyDescent="0.35">
      <c r="A2220">
        <v>2025</v>
      </c>
      <c r="B2220">
        <v>9</v>
      </c>
      <c r="C2220" t="s">
        <v>560</v>
      </c>
      <c r="D2220" t="s">
        <v>55</v>
      </c>
      <c r="E2220" t="s">
        <v>287</v>
      </c>
      <c r="F2220" t="s">
        <v>467</v>
      </c>
      <c r="G2220">
        <v>68628</v>
      </c>
    </row>
    <row r="2221" spans="1:7" x14ac:dyDescent="0.35">
      <c r="A2221">
        <v>2025</v>
      </c>
      <c r="B2221">
        <v>9</v>
      </c>
      <c r="C2221" t="s">
        <v>560</v>
      </c>
      <c r="D2221" t="s">
        <v>17</v>
      </c>
      <c r="E2221" t="s">
        <v>255</v>
      </c>
      <c r="F2221" t="s">
        <v>434</v>
      </c>
      <c r="G2221">
        <v>5680</v>
      </c>
    </row>
    <row r="2222" spans="1:7" x14ac:dyDescent="0.35">
      <c r="A2222">
        <v>2025</v>
      </c>
      <c r="B2222">
        <v>9</v>
      </c>
      <c r="C2222" t="s">
        <v>560</v>
      </c>
      <c r="D2222" t="s">
        <v>37</v>
      </c>
      <c r="E2222" t="s">
        <v>256</v>
      </c>
      <c r="F2222" t="s">
        <v>435</v>
      </c>
      <c r="G2222">
        <v>-64343.3</v>
      </c>
    </row>
    <row r="2223" spans="1:7" x14ac:dyDescent="0.35">
      <c r="A2223">
        <v>2025</v>
      </c>
      <c r="B2223">
        <v>9</v>
      </c>
      <c r="C2223" t="s">
        <v>560</v>
      </c>
      <c r="D2223" t="s">
        <v>37</v>
      </c>
      <c r="E2223" t="s">
        <v>257</v>
      </c>
      <c r="F2223" t="s">
        <v>436</v>
      </c>
      <c r="G2223">
        <v>-4143804.17</v>
      </c>
    </row>
    <row r="2224" spans="1:7" x14ac:dyDescent="0.35">
      <c r="A2224">
        <v>2025</v>
      </c>
      <c r="B2224">
        <v>9</v>
      </c>
      <c r="C2224" t="s">
        <v>560</v>
      </c>
      <c r="D2224" t="s">
        <v>18</v>
      </c>
      <c r="E2224" t="s">
        <v>259</v>
      </c>
      <c r="F2224" t="s">
        <v>438</v>
      </c>
      <c r="G2224">
        <v>16262</v>
      </c>
    </row>
    <row r="2225" spans="1:7" x14ac:dyDescent="0.35">
      <c r="A2225">
        <v>2025</v>
      </c>
      <c r="B2225">
        <v>10</v>
      </c>
      <c r="C2225" t="s">
        <v>561</v>
      </c>
      <c r="E2225" t="s">
        <v>291</v>
      </c>
      <c r="F2225" t="s">
        <v>474</v>
      </c>
      <c r="G2225">
        <v>9147</v>
      </c>
    </row>
    <row r="2226" spans="1:7" x14ac:dyDescent="0.35">
      <c r="A2226">
        <v>2025</v>
      </c>
      <c r="B2226">
        <v>10</v>
      </c>
      <c r="C2226" t="s">
        <v>561</v>
      </c>
      <c r="E2226" t="s">
        <v>528</v>
      </c>
      <c r="F2226" t="s">
        <v>529</v>
      </c>
      <c r="G2226">
        <v>7382</v>
      </c>
    </row>
    <row r="2227" spans="1:7" x14ac:dyDescent="0.35">
      <c r="A2227">
        <v>2025</v>
      </c>
      <c r="B2227">
        <v>10</v>
      </c>
      <c r="C2227" t="s">
        <v>561</v>
      </c>
      <c r="E2227" t="s">
        <v>293</v>
      </c>
      <c r="F2227" t="s">
        <v>477</v>
      </c>
      <c r="G2227">
        <v>11360</v>
      </c>
    </row>
    <row r="2228" spans="1:7" x14ac:dyDescent="0.35">
      <c r="A2228">
        <v>2025</v>
      </c>
      <c r="B2228">
        <v>10</v>
      </c>
      <c r="C2228" t="s">
        <v>561</v>
      </c>
      <c r="E2228" t="s">
        <v>554</v>
      </c>
      <c r="F2228" t="s">
        <v>555</v>
      </c>
      <c r="G2228">
        <v>1700</v>
      </c>
    </row>
    <row r="2229" spans="1:7" x14ac:dyDescent="0.35">
      <c r="A2229">
        <v>2025</v>
      </c>
      <c r="B2229">
        <v>10</v>
      </c>
      <c r="C2229" t="s">
        <v>561</v>
      </c>
      <c r="D2229" t="s">
        <v>59</v>
      </c>
      <c r="E2229" t="s">
        <v>133</v>
      </c>
      <c r="F2229" t="s">
        <v>313</v>
      </c>
      <c r="G2229">
        <v>5550</v>
      </c>
    </row>
    <row r="2230" spans="1:7" x14ac:dyDescent="0.35">
      <c r="A2230">
        <v>2025</v>
      </c>
      <c r="B2230">
        <v>10</v>
      </c>
      <c r="C2230" t="s">
        <v>561</v>
      </c>
      <c r="D2230" t="s">
        <v>71</v>
      </c>
      <c r="E2230" t="s">
        <v>558</v>
      </c>
      <c r="F2230" t="s">
        <v>559</v>
      </c>
      <c r="G2230">
        <v>9080</v>
      </c>
    </row>
    <row r="2231" spans="1:7" x14ac:dyDescent="0.35">
      <c r="A2231">
        <v>2025</v>
      </c>
      <c r="B2231">
        <v>10</v>
      </c>
      <c r="C2231" t="s">
        <v>561</v>
      </c>
      <c r="D2231" t="s">
        <v>38</v>
      </c>
      <c r="E2231" t="s">
        <v>122</v>
      </c>
      <c r="F2231" t="s">
        <v>314</v>
      </c>
      <c r="G2231">
        <v>35657</v>
      </c>
    </row>
    <row r="2232" spans="1:7" x14ac:dyDescent="0.35">
      <c r="A2232">
        <v>2025</v>
      </c>
      <c r="B2232">
        <v>10</v>
      </c>
      <c r="C2232" t="s">
        <v>561</v>
      </c>
      <c r="D2232" t="s">
        <v>6</v>
      </c>
      <c r="E2232" t="s">
        <v>135</v>
      </c>
      <c r="F2232" t="s">
        <v>316</v>
      </c>
      <c r="G2232">
        <v>17605</v>
      </c>
    </row>
    <row r="2233" spans="1:7" x14ac:dyDescent="0.35">
      <c r="A2233">
        <v>2025</v>
      </c>
      <c r="B2233">
        <v>10</v>
      </c>
      <c r="C2233" t="s">
        <v>561</v>
      </c>
      <c r="D2233" t="s">
        <v>6</v>
      </c>
      <c r="E2233" t="s">
        <v>136</v>
      </c>
      <c r="F2233" t="s">
        <v>317</v>
      </c>
      <c r="G2233">
        <v>24942</v>
      </c>
    </row>
    <row r="2234" spans="1:7" x14ac:dyDescent="0.35">
      <c r="A2234">
        <v>2025</v>
      </c>
      <c r="B2234">
        <v>10</v>
      </c>
      <c r="C2234" t="s">
        <v>561</v>
      </c>
      <c r="D2234" t="s">
        <v>6</v>
      </c>
      <c r="E2234" t="s">
        <v>137</v>
      </c>
      <c r="F2234" t="s">
        <v>318</v>
      </c>
      <c r="G2234">
        <v>38746</v>
      </c>
    </row>
    <row r="2235" spans="1:7" x14ac:dyDescent="0.35">
      <c r="A2235">
        <v>2025</v>
      </c>
      <c r="B2235">
        <v>10</v>
      </c>
      <c r="C2235" t="s">
        <v>561</v>
      </c>
      <c r="D2235" t="s">
        <v>6</v>
      </c>
      <c r="E2235" t="s">
        <v>138</v>
      </c>
      <c r="F2235" t="s">
        <v>319</v>
      </c>
      <c r="G2235">
        <v>4173</v>
      </c>
    </row>
    <row r="2236" spans="1:7" x14ac:dyDescent="0.35">
      <c r="A2236">
        <v>2025</v>
      </c>
      <c r="B2236">
        <v>10</v>
      </c>
      <c r="C2236" t="s">
        <v>561</v>
      </c>
      <c r="D2236" t="s">
        <v>62</v>
      </c>
      <c r="E2236" t="s">
        <v>261</v>
      </c>
      <c r="F2236" t="s">
        <v>441</v>
      </c>
      <c r="G2236">
        <v>2246</v>
      </c>
    </row>
    <row r="2237" spans="1:7" x14ac:dyDescent="0.35">
      <c r="A2237">
        <v>2025</v>
      </c>
      <c r="B2237">
        <v>10</v>
      </c>
      <c r="C2237" t="s">
        <v>561</v>
      </c>
      <c r="D2237" t="s">
        <v>19</v>
      </c>
      <c r="E2237" t="s">
        <v>142</v>
      </c>
      <c r="F2237" t="s">
        <v>323</v>
      </c>
      <c r="G2237">
        <v>1931</v>
      </c>
    </row>
    <row r="2238" spans="1:7" x14ac:dyDescent="0.35">
      <c r="A2238">
        <v>2025</v>
      </c>
      <c r="B2238">
        <v>10</v>
      </c>
      <c r="C2238" t="s">
        <v>561</v>
      </c>
      <c r="D2238" t="s">
        <v>31</v>
      </c>
      <c r="E2238" t="s">
        <v>143</v>
      </c>
      <c r="F2238" t="s">
        <v>324</v>
      </c>
      <c r="G2238">
        <v>471860</v>
      </c>
    </row>
    <row r="2239" spans="1:7" x14ac:dyDescent="0.35">
      <c r="A2239">
        <v>2025</v>
      </c>
      <c r="B2239">
        <v>10</v>
      </c>
      <c r="C2239" t="s">
        <v>561</v>
      </c>
      <c r="D2239" t="s">
        <v>26</v>
      </c>
      <c r="E2239" t="s">
        <v>144</v>
      </c>
      <c r="F2239" t="s">
        <v>325</v>
      </c>
      <c r="G2239">
        <v>12315</v>
      </c>
    </row>
    <row r="2240" spans="1:7" x14ac:dyDescent="0.35">
      <c r="A2240">
        <v>2025</v>
      </c>
      <c r="B2240">
        <v>10</v>
      </c>
      <c r="C2240" t="s">
        <v>561</v>
      </c>
      <c r="D2240" t="s">
        <v>67</v>
      </c>
      <c r="E2240" t="s">
        <v>148</v>
      </c>
      <c r="F2240" t="s">
        <v>329</v>
      </c>
      <c r="G2240">
        <v>5301</v>
      </c>
    </row>
    <row r="2241" spans="1:7" x14ac:dyDescent="0.35">
      <c r="A2241">
        <v>2025</v>
      </c>
      <c r="B2241">
        <v>10</v>
      </c>
      <c r="C2241" t="s">
        <v>561</v>
      </c>
      <c r="D2241" t="s">
        <v>67</v>
      </c>
      <c r="E2241" t="s">
        <v>149</v>
      </c>
      <c r="F2241" t="s">
        <v>330</v>
      </c>
      <c r="G2241">
        <v>3859</v>
      </c>
    </row>
    <row r="2242" spans="1:7" x14ac:dyDescent="0.35">
      <c r="A2242">
        <v>2025</v>
      </c>
      <c r="B2242">
        <v>10</v>
      </c>
      <c r="C2242" t="s">
        <v>561</v>
      </c>
      <c r="D2242" t="s">
        <v>67</v>
      </c>
      <c r="E2242" t="s">
        <v>150</v>
      </c>
      <c r="F2242" t="s">
        <v>331</v>
      </c>
      <c r="G2242">
        <v>43541</v>
      </c>
    </row>
    <row r="2243" spans="1:7" x14ac:dyDescent="0.35">
      <c r="A2243">
        <v>2025</v>
      </c>
      <c r="B2243">
        <v>10</v>
      </c>
      <c r="C2243" t="s">
        <v>561</v>
      </c>
      <c r="D2243" t="s">
        <v>67</v>
      </c>
      <c r="E2243" t="s">
        <v>151</v>
      </c>
      <c r="F2243" t="s">
        <v>332</v>
      </c>
      <c r="G2243">
        <v>20143</v>
      </c>
    </row>
    <row r="2244" spans="1:7" x14ac:dyDescent="0.35">
      <c r="A2244">
        <v>2025</v>
      </c>
      <c r="B2244">
        <v>10</v>
      </c>
      <c r="C2244" t="s">
        <v>561</v>
      </c>
      <c r="D2244" t="s">
        <v>67</v>
      </c>
      <c r="E2244" t="s">
        <v>152</v>
      </c>
      <c r="F2244" t="s">
        <v>333</v>
      </c>
      <c r="G2244">
        <v>14378</v>
      </c>
    </row>
    <row r="2245" spans="1:7" x14ac:dyDescent="0.35">
      <c r="A2245">
        <v>2025</v>
      </c>
      <c r="B2245">
        <v>10</v>
      </c>
      <c r="C2245" t="s">
        <v>561</v>
      </c>
      <c r="D2245" t="s">
        <v>93</v>
      </c>
      <c r="E2245" t="s">
        <v>153</v>
      </c>
      <c r="F2245" t="s">
        <v>334</v>
      </c>
      <c r="G2245">
        <v>37675.99</v>
      </c>
    </row>
    <row r="2246" spans="1:7" x14ac:dyDescent="0.35">
      <c r="A2246">
        <v>2025</v>
      </c>
      <c r="B2246">
        <v>10</v>
      </c>
      <c r="C2246" t="s">
        <v>561</v>
      </c>
      <c r="D2246" t="s">
        <v>93</v>
      </c>
      <c r="E2246" t="s">
        <v>154</v>
      </c>
      <c r="F2246" t="s">
        <v>335</v>
      </c>
      <c r="G2246">
        <v>24421.37</v>
      </c>
    </row>
    <row r="2247" spans="1:7" x14ac:dyDescent="0.35">
      <c r="A2247">
        <v>2025</v>
      </c>
      <c r="B2247">
        <v>10</v>
      </c>
      <c r="C2247" t="s">
        <v>561</v>
      </c>
      <c r="D2247" t="s">
        <v>93</v>
      </c>
      <c r="E2247" t="s">
        <v>281</v>
      </c>
      <c r="F2247" t="s">
        <v>461</v>
      </c>
      <c r="G2247">
        <v>39900</v>
      </c>
    </row>
    <row r="2248" spans="1:7" x14ac:dyDescent="0.35">
      <c r="A2248">
        <v>2025</v>
      </c>
      <c r="B2248">
        <v>10</v>
      </c>
      <c r="C2248" t="s">
        <v>561</v>
      </c>
      <c r="D2248" t="s">
        <v>89</v>
      </c>
      <c r="E2248" t="s">
        <v>155</v>
      </c>
      <c r="F2248" t="s">
        <v>336</v>
      </c>
      <c r="G2248">
        <v>-44196.57</v>
      </c>
    </row>
    <row r="2249" spans="1:7" x14ac:dyDescent="0.35">
      <c r="A2249">
        <v>2025</v>
      </c>
      <c r="B2249">
        <v>10</v>
      </c>
      <c r="C2249" t="s">
        <v>561</v>
      </c>
      <c r="D2249" t="s">
        <v>89</v>
      </c>
      <c r="E2249" t="s">
        <v>156</v>
      </c>
      <c r="F2249" t="s">
        <v>337</v>
      </c>
      <c r="G2249">
        <v>216437.97</v>
      </c>
    </row>
    <row r="2250" spans="1:7" x14ac:dyDescent="0.35">
      <c r="A2250">
        <v>2025</v>
      </c>
      <c r="B2250">
        <v>10</v>
      </c>
      <c r="C2250" t="s">
        <v>561</v>
      </c>
      <c r="D2250" t="s">
        <v>61</v>
      </c>
      <c r="E2250" t="s">
        <v>262</v>
      </c>
      <c r="F2250" t="s">
        <v>442</v>
      </c>
      <c r="G2250">
        <v>3300</v>
      </c>
    </row>
    <row r="2251" spans="1:7" x14ac:dyDescent="0.35">
      <c r="A2251">
        <v>2025</v>
      </c>
      <c r="B2251">
        <v>10</v>
      </c>
      <c r="C2251" t="s">
        <v>561</v>
      </c>
      <c r="D2251" t="s">
        <v>8</v>
      </c>
      <c r="E2251" t="s">
        <v>157</v>
      </c>
      <c r="F2251" t="s">
        <v>338</v>
      </c>
      <c r="G2251">
        <v>12298</v>
      </c>
    </row>
    <row r="2252" spans="1:7" x14ac:dyDescent="0.35">
      <c r="A2252">
        <v>2025</v>
      </c>
      <c r="B2252">
        <v>10</v>
      </c>
      <c r="C2252" t="s">
        <v>561</v>
      </c>
      <c r="D2252" t="s">
        <v>20</v>
      </c>
      <c r="E2252" t="s">
        <v>158</v>
      </c>
      <c r="F2252" t="s">
        <v>339</v>
      </c>
      <c r="G2252">
        <v>2738295</v>
      </c>
    </row>
    <row r="2253" spans="1:7" x14ac:dyDescent="0.35">
      <c r="A2253">
        <v>2025</v>
      </c>
      <c r="B2253">
        <v>10</v>
      </c>
      <c r="C2253" t="s">
        <v>561</v>
      </c>
      <c r="D2253" t="s">
        <v>21</v>
      </c>
      <c r="E2253" t="s">
        <v>159</v>
      </c>
      <c r="F2253" t="s">
        <v>340</v>
      </c>
      <c r="G2253">
        <v>126515</v>
      </c>
    </row>
    <row r="2254" spans="1:7" x14ac:dyDescent="0.35">
      <c r="A2254">
        <v>2025</v>
      </c>
      <c r="B2254">
        <v>10</v>
      </c>
      <c r="C2254" t="s">
        <v>561</v>
      </c>
      <c r="D2254" t="s">
        <v>160</v>
      </c>
      <c r="E2254" t="s">
        <v>161</v>
      </c>
      <c r="F2254" t="s">
        <v>341</v>
      </c>
      <c r="G2254">
        <v>79707</v>
      </c>
    </row>
    <row r="2255" spans="1:7" x14ac:dyDescent="0.35">
      <c r="A2255">
        <v>2025</v>
      </c>
      <c r="B2255">
        <v>10</v>
      </c>
      <c r="C2255" t="s">
        <v>561</v>
      </c>
      <c r="D2255" t="s">
        <v>32</v>
      </c>
      <c r="E2255" t="s">
        <v>162</v>
      </c>
      <c r="F2255" t="s">
        <v>342</v>
      </c>
      <c r="G2255">
        <v>3099</v>
      </c>
    </row>
    <row r="2256" spans="1:7" x14ac:dyDescent="0.35">
      <c r="A2256">
        <v>2025</v>
      </c>
      <c r="B2256">
        <v>10</v>
      </c>
      <c r="C2256" t="s">
        <v>561</v>
      </c>
      <c r="D2256" t="s">
        <v>22</v>
      </c>
      <c r="E2256" t="s">
        <v>165</v>
      </c>
      <c r="F2256" t="s">
        <v>344</v>
      </c>
      <c r="G2256">
        <v>4425</v>
      </c>
    </row>
    <row r="2257" spans="1:7" x14ac:dyDescent="0.35">
      <c r="A2257">
        <v>2025</v>
      </c>
      <c r="B2257">
        <v>10</v>
      </c>
      <c r="C2257" t="s">
        <v>561</v>
      </c>
      <c r="D2257" t="s">
        <v>27</v>
      </c>
      <c r="E2257" t="s">
        <v>166</v>
      </c>
      <c r="F2257" t="s">
        <v>345</v>
      </c>
      <c r="G2257">
        <v>90052</v>
      </c>
    </row>
    <row r="2258" spans="1:7" x14ac:dyDescent="0.35">
      <c r="A2258">
        <v>2025</v>
      </c>
      <c r="B2258">
        <v>10</v>
      </c>
      <c r="C2258" t="s">
        <v>561</v>
      </c>
      <c r="D2258" t="s">
        <v>167</v>
      </c>
      <c r="E2258" t="s">
        <v>167</v>
      </c>
      <c r="F2258" t="s">
        <v>346</v>
      </c>
      <c r="G2258">
        <v>4086061</v>
      </c>
    </row>
    <row r="2259" spans="1:7" x14ac:dyDescent="0.35">
      <c r="A2259">
        <v>2025</v>
      </c>
      <c r="B2259">
        <v>10</v>
      </c>
      <c r="C2259" t="s">
        <v>561</v>
      </c>
      <c r="D2259" t="s">
        <v>9</v>
      </c>
      <c r="E2259" t="s">
        <v>168</v>
      </c>
      <c r="F2259" t="s">
        <v>347</v>
      </c>
      <c r="G2259">
        <v>10925</v>
      </c>
    </row>
    <row r="2260" spans="1:7" x14ac:dyDescent="0.35">
      <c r="A2260">
        <v>2025</v>
      </c>
      <c r="B2260">
        <v>10</v>
      </c>
      <c r="C2260" t="s">
        <v>561</v>
      </c>
      <c r="D2260" t="s">
        <v>9</v>
      </c>
      <c r="E2260" t="s">
        <v>169</v>
      </c>
      <c r="F2260" t="s">
        <v>348</v>
      </c>
      <c r="G2260">
        <v>38432</v>
      </c>
    </row>
    <row r="2261" spans="1:7" x14ac:dyDescent="0.35">
      <c r="A2261">
        <v>2025</v>
      </c>
      <c r="B2261">
        <v>10</v>
      </c>
      <c r="C2261" t="s">
        <v>561</v>
      </c>
      <c r="D2261" t="s">
        <v>72</v>
      </c>
      <c r="E2261" t="s">
        <v>170</v>
      </c>
      <c r="F2261" t="s">
        <v>349</v>
      </c>
      <c r="G2261">
        <v>146758</v>
      </c>
    </row>
    <row r="2262" spans="1:7" x14ac:dyDescent="0.35">
      <c r="A2262">
        <v>2025</v>
      </c>
      <c r="B2262">
        <v>10</v>
      </c>
      <c r="C2262" t="s">
        <v>561</v>
      </c>
      <c r="D2262" t="s">
        <v>39</v>
      </c>
      <c r="E2262" t="s">
        <v>171</v>
      </c>
      <c r="F2262" t="s">
        <v>350</v>
      </c>
      <c r="G2262">
        <v>35955</v>
      </c>
    </row>
    <row r="2263" spans="1:7" x14ac:dyDescent="0.35">
      <c r="A2263">
        <v>2025</v>
      </c>
      <c r="B2263">
        <v>10</v>
      </c>
      <c r="C2263" t="s">
        <v>561</v>
      </c>
      <c r="D2263" t="s">
        <v>10</v>
      </c>
      <c r="E2263" t="s">
        <v>172</v>
      </c>
      <c r="F2263" t="s">
        <v>351</v>
      </c>
      <c r="G2263">
        <v>9245</v>
      </c>
    </row>
    <row r="2264" spans="1:7" x14ac:dyDescent="0.35">
      <c r="A2264">
        <v>2025</v>
      </c>
      <c r="B2264">
        <v>10</v>
      </c>
      <c r="C2264" t="s">
        <v>561</v>
      </c>
      <c r="D2264" t="s">
        <v>66</v>
      </c>
      <c r="E2264" t="s">
        <v>173</v>
      </c>
      <c r="F2264" t="s">
        <v>352</v>
      </c>
      <c r="G2264">
        <v>395185</v>
      </c>
    </row>
    <row r="2265" spans="1:7" x14ac:dyDescent="0.35">
      <c r="A2265">
        <v>2025</v>
      </c>
      <c r="B2265">
        <v>10</v>
      </c>
      <c r="C2265" t="s">
        <v>561</v>
      </c>
      <c r="D2265" t="s">
        <v>66</v>
      </c>
      <c r="E2265" t="s">
        <v>174</v>
      </c>
      <c r="F2265" t="s">
        <v>353</v>
      </c>
      <c r="G2265">
        <v>68017</v>
      </c>
    </row>
    <row r="2266" spans="1:7" x14ac:dyDescent="0.35">
      <c r="A2266">
        <v>2025</v>
      </c>
      <c r="B2266">
        <v>10</v>
      </c>
      <c r="C2266" t="s">
        <v>561</v>
      </c>
      <c r="D2266" t="s">
        <v>66</v>
      </c>
      <c r="E2266" t="s">
        <v>175</v>
      </c>
      <c r="F2266" t="s">
        <v>354</v>
      </c>
      <c r="G2266">
        <v>483</v>
      </c>
    </row>
    <row r="2267" spans="1:7" x14ac:dyDescent="0.35">
      <c r="A2267">
        <v>2025</v>
      </c>
      <c r="B2267">
        <v>10</v>
      </c>
      <c r="C2267" t="s">
        <v>561</v>
      </c>
      <c r="D2267" t="s">
        <v>66</v>
      </c>
      <c r="E2267" t="s">
        <v>176</v>
      </c>
      <c r="F2267" t="s">
        <v>355</v>
      </c>
      <c r="G2267">
        <v>43554</v>
      </c>
    </row>
    <row r="2268" spans="1:7" x14ac:dyDescent="0.35">
      <c r="A2268">
        <v>2025</v>
      </c>
      <c r="B2268">
        <v>10</v>
      </c>
      <c r="C2268" t="s">
        <v>561</v>
      </c>
      <c r="D2268" t="s">
        <v>66</v>
      </c>
      <c r="E2268" t="s">
        <v>177</v>
      </c>
      <c r="F2268" t="s">
        <v>356</v>
      </c>
      <c r="G2268">
        <v>40239</v>
      </c>
    </row>
    <row r="2269" spans="1:7" x14ac:dyDescent="0.35">
      <c r="A2269">
        <v>2025</v>
      </c>
      <c r="B2269">
        <v>10</v>
      </c>
      <c r="C2269" t="s">
        <v>561</v>
      </c>
      <c r="D2269" t="s">
        <v>11</v>
      </c>
      <c r="E2269" t="s">
        <v>179</v>
      </c>
      <c r="F2269" t="s">
        <v>180</v>
      </c>
      <c r="G2269">
        <v>13246</v>
      </c>
    </row>
    <row r="2270" spans="1:7" x14ac:dyDescent="0.35">
      <c r="A2270">
        <v>2025</v>
      </c>
      <c r="B2270">
        <v>10</v>
      </c>
      <c r="C2270" t="s">
        <v>561</v>
      </c>
      <c r="D2270" t="s">
        <v>74</v>
      </c>
      <c r="E2270" t="s">
        <v>205</v>
      </c>
      <c r="F2270" t="s">
        <v>384</v>
      </c>
      <c r="G2270">
        <v>1416</v>
      </c>
    </row>
    <row r="2271" spans="1:7" x14ac:dyDescent="0.35">
      <c r="A2271">
        <v>2025</v>
      </c>
      <c r="B2271">
        <v>10</v>
      </c>
      <c r="C2271" t="s">
        <v>561</v>
      </c>
      <c r="D2271" t="s">
        <v>74</v>
      </c>
      <c r="E2271" t="s">
        <v>183</v>
      </c>
      <c r="F2271" t="s">
        <v>360</v>
      </c>
      <c r="G2271">
        <v>120</v>
      </c>
    </row>
    <row r="2272" spans="1:7" x14ac:dyDescent="0.35">
      <c r="A2272">
        <v>2025</v>
      </c>
      <c r="B2272">
        <v>10</v>
      </c>
      <c r="C2272" t="s">
        <v>561</v>
      </c>
      <c r="D2272" t="s">
        <v>74</v>
      </c>
      <c r="E2272" t="s">
        <v>184</v>
      </c>
      <c r="F2272" t="s">
        <v>361</v>
      </c>
      <c r="G2272">
        <v>3400</v>
      </c>
    </row>
    <row r="2273" spans="1:7" x14ac:dyDescent="0.35">
      <c r="A2273">
        <v>2025</v>
      </c>
      <c r="B2273">
        <v>10</v>
      </c>
      <c r="C2273" t="s">
        <v>561</v>
      </c>
      <c r="D2273" t="s">
        <v>74</v>
      </c>
      <c r="E2273" t="s">
        <v>282</v>
      </c>
      <c r="F2273" t="s">
        <v>462</v>
      </c>
      <c r="G2273">
        <v>4591</v>
      </c>
    </row>
    <row r="2274" spans="1:7" x14ac:dyDescent="0.35">
      <c r="A2274">
        <v>2025</v>
      </c>
      <c r="B2274">
        <v>10</v>
      </c>
      <c r="C2274" t="s">
        <v>561</v>
      </c>
      <c r="D2274" t="s">
        <v>74</v>
      </c>
      <c r="E2274" t="s">
        <v>267</v>
      </c>
      <c r="F2274" t="s">
        <v>447</v>
      </c>
      <c r="G2274">
        <v>850</v>
      </c>
    </row>
    <row r="2275" spans="1:7" x14ac:dyDescent="0.35">
      <c r="A2275">
        <v>2025</v>
      </c>
      <c r="B2275">
        <v>10</v>
      </c>
      <c r="C2275" t="s">
        <v>561</v>
      </c>
      <c r="D2275" t="s">
        <v>74</v>
      </c>
      <c r="E2275" t="s">
        <v>186</v>
      </c>
      <c r="F2275" t="s">
        <v>364</v>
      </c>
      <c r="G2275">
        <v>1973</v>
      </c>
    </row>
    <row r="2276" spans="1:7" x14ac:dyDescent="0.35">
      <c r="A2276">
        <v>2025</v>
      </c>
      <c r="B2276">
        <v>10</v>
      </c>
      <c r="C2276" t="s">
        <v>561</v>
      </c>
      <c r="D2276" t="s">
        <v>74</v>
      </c>
      <c r="E2276" t="s">
        <v>270</v>
      </c>
      <c r="F2276" t="s">
        <v>450</v>
      </c>
      <c r="G2276">
        <v>44642</v>
      </c>
    </row>
    <row r="2277" spans="1:7" x14ac:dyDescent="0.35">
      <c r="A2277">
        <v>2025</v>
      </c>
      <c r="B2277">
        <v>10</v>
      </c>
      <c r="C2277" t="s">
        <v>561</v>
      </c>
      <c r="D2277" t="s">
        <v>74</v>
      </c>
      <c r="E2277" t="s">
        <v>187</v>
      </c>
      <c r="F2277" t="s">
        <v>365</v>
      </c>
      <c r="G2277">
        <v>680</v>
      </c>
    </row>
    <row r="2278" spans="1:7" x14ac:dyDescent="0.35">
      <c r="A2278">
        <v>2025</v>
      </c>
      <c r="B2278">
        <v>10</v>
      </c>
      <c r="C2278" t="s">
        <v>561</v>
      </c>
      <c r="D2278" t="s">
        <v>74</v>
      </c>
      <c r="E2278" t="s">
        <v>283</v>
      </c>
      <c r="F2278" t="s">
        <v>463</v>
      </c>
      <c r="G2278">
        <v>5670</v>
      </c>
    </row>
    <row r="2279" spans="1:7" x14ac:dyDescent="0.35">
      <c r="A2279">
        <v>2025</v>
      </c>
      <c r="B2279">
        <v>10</v>
      </c>
      <c r="C2279" t="s">
        <v>561</v>
      </c>
      <c r="D2279" t="s">
        <v>85</v>
      </c>
      <c r="E2279" t="s">
        <v>188</v>
      </c>
      <c r="F2279" t="s">
        <v>366</v>
      </c>
      <c r="G2279">
        <v>674594.93</v>
      </c>
    </row>
    <row r="2280" spans="1:7" x14ac:dyDescent="0.35">
      <c r="A2280">
        <v>2025</v>
      </c>
      <c r="B2280">
        <v>10</v>
      </c>
      <c r="C2280" t="s">
        <v>561</v>
      </c>
      <c r="D2280" t="s">
        <v>106</v>
      </c>
      <c r="E2280" t="s">
        <v>189</v>
      </c>
      <c r="F2280" t="s">
        <v>367</v>
      </c>
      <c r="G2280">
        <v>3857825</v>
      </c>
    </row>
    <row r="2281" spans="1:7" x14ac:dyDescent="0.35">
      <c r="A2281">
        <v>2025</v>
      </c>
      <c r="B2281">
        <v>10</v>
      </c>
      <c r="C2281" t="s">
        <v>561</v>
      </c>
      <c r="D2281" t="s">
        <v>106</v>
      </c>
      <c r="E2281" t="s">
        <v>190</v>
      </c>
      <c r="F2281" t="s">
        <v>368</v>
      </c>
      <c r="G2281">
        <v>102946</v>
      </c>
    </row>
    <row r="2282" spans="1:7" x14ac:dyDescent="0.35">
      <c r="A2282">
        <v>2025</v>
      </c>
      <c r="B2282">
        <v>10</v>
      </c>
      <c r="C2282" t="s">
        <v>561</v>
      </c>
      <c r="D2282" t="s">
        <v>106</v>
      </c>
      <c r="E2282" t="s">
        <v>191</v>
      </c>
      <c r="F2282" t="s">
        <v>369</v>
      </c>
      <c r="G2282">
        <v>938647</v>
      </c>
    </row>
    <row r="2283" spans="1:7" x14ac:dyDescent="0.35">
      <c r="A2283">
        <v>2025</v>
      </c>
      <c r="B2283">
        <v>10</v>
      </c>
      <c r="C2283" t="s">
        <v>561</v>
      </c>
      <c r="D2283" t="s">
        <v>106</v>
      </c>
      <c r="E2283" t="s">
        <v>192</v>
      </c>
      <c r="F2283" t="s">
        <v>370</v>
      </c>
      <c r="G2283">
        <v>340635</v>
      </c>
    </row>
    <row r="2284" spans="1:7" x14ac:dyDescent="0.35">
      <c r="A2284">
        <v>2025</v>
      </c>
      <c r="B2284">
        <v>10</v>
      </c>
      <c r="C2284" t="s">
        <v>561</v>
      </c>
      <c r="D2284" t="s">
        <v>106</v>
      </c>
      <c r="E2284" t="s">
        <v>193</v>
      </c>
      <c r="F2284" t="s">
        <v>371</v>
      </c>
      <c r="G2284">
        <v>32096</v>
      </c>
    </row>
    <row r="2285" spans="1:7" x14ac:dyDescent="0.35">
      <c r="A2285">
        <v>2025</v>
      </c>
      <c r="B2285">
        <v>10</v>
      </c>
      <c r="C2285" t="s">
        <v>561</v>
      </c>
      <c r="D2285" t="s">
        <v>106</v>
      </c>
      <c r="E2285" t="s">
        <v>194</v>
      </c>
      <c r="F2285" t="s">
        <v>372</v>
      </c>
      <c r="G2285">
        <v>600</v>
      </c>
    </row>
    <row r="2286" spans="1:7" x14ac:dyDescent="0.35">
      <c r="A2286">
        <v>2025</v>
      </c>
      <c r="B2286">
        <v>10</v>
      </c>
      <c r="C2286" t="s">
        <v>561</v>
      </c>
      <c r="D2286" t="s">
        <v>106</v>
      </c>
      <c r="E2286" t="s">
        <v>195</v>
      </c>
      <c r="F2286" t="s">
        <v>373</v>
      </c>
      <c r="G2286">
        <v>126332</v>
      </c>
    </row>
    <row r="2287" spans="1:7" x14ac:dyDescent="0.35">
      <c r="A2287">
        <v>2025</v>
      </c>
      <c r="B2287">
        <v>10</v>
      </c>
      <c r="C2287" t="s">
        <v>561</v>
      </c>
      <c r="D2287" t="s">
        <v>490</v>
      </c>
      <c r="E2287" t="s">
        <v>490</v>
      </c>
      <c r="F2287" t="s">
        <v>491</v>
      </c>
      <c r="G2287">
        <v>750</v>
      </c>
    </row>
    <row r="2288" spans="1:7" x14ac:dyDescent="0.35">
      <c r="A2288">
        <v>2025</v>
      </c>
      <c r="B2288">
        <v>10</v>
      </c>
      <c r="C2288" t="s">
        <v>561</v>
      </c>
      <c r="D2288" t="s">
        <v>75</v>
      </c>
      <c r="E2288" t="s">
        <v>204</v>
      </c>
      <c r="F2288" t="s">
        <v>383</v>
      </c>
      <c r="G2288">
        <v>28299</v>
      </c>
    </row>
    <row r="2289" spans="1:7" x14ac:dyDescent="0.35">
      <c r="A2289">
        <v>2025</v>
      </c>
      <c r="B2289">
        <v>10</v>
      </c>
      <c r="C2289" t="s">
        <v>561</v>
      </c>
      <c r="D2289" t="s">
        <v>23</v>
      </c>
      <c r="E2289" t="s">
        <v>206</v>
      </c>
      <c r="F2289" t="s">
        <v>385</v>
      </c>
      <c r="G2289">
        <v>23974</v>
      </c>
    </row>
    <row r="2290" spans="1:7" x14ac:dyDescent="0.35">
      <c r="A2290">
        <v>2025</v>
      </c>
      <c r="B2290">
        <v>10</v>
      </c>
      <c r="C2290" t="s">
        <v>561</v>
      </c>
      <c r="D2290" t="s">
        <v>24</v>
      </c>
      <c r="E2290" t="s">
        <v>207</v>
      </c>
      <c r="F2290" t="s">
        <v>386</v>
      </c>
      <c r="G2290">
        <v>61099</v>
      </c>
    </row>
    <row r="2291" spans="1:7" x14ac:dyDescent="0.35">
      <c r="A2291">
        <v>2025</v>
      </c>
      <c r="B2291">
        <v>10</v>
      </c>
      <c r="C2291" t="s">
        <v>561</v>
      </c>
      <c r="D2291" t="s">
        <v>114</v>
      </c>
      <c r="E2291" t="s">
        <v>295</v>
      </c>
      <c r="F2291" t="s">
        <v>479</v>
      </c>
      <c r="G2291">
        <v>487</v>
      </c>
    </row>
    <row r="2292" spans="1:7" x14ac:dyDescent="0.35">
      <c r="A2292">
        <v>2025</v>
      </c>
      <c r="B2292">
        <v>10</v>
      </c>
      <c r="C2292" t="s">
        <v>561</v>
      </c>
      <c r="D2292" t="s">
        <v>519</v>
      </c>
      <c r="E2292" t="s">
        <v>203</v>
      </c>
      <c r="F2292" t="s">
        <v>381</v>
      </c>
      <c r="G2292">
        <v>5766.56</v>
      </c>
    </row>
    <row r="2293" spans="1:7" x14ac:dyDescent="0.35">
      <c r="A2293">
        <v>2025</v>
      </c>
      <c r="B2293">
        <v>10</v>
      </c>
      <c r="C2293" t="s">
        <v>561</v>
      </c>
      <c r="D2293" t="s">
        <v>519</v>
      </c>
      <c r="E2293" t="s">
        <v>196</v>
      </c>
      <c r="F2293" t="s">
        <v>382</v>
      </c>
      <c r="G2293">
        <v>5.38</v>
      </c>
    </row>
    <row r="2294" spans="1:7" x14ac:dyDescent="0.35">
      <c r="A2294">
        <v>2025</v>
      </c>
      <c r="B2294">
        <v>10</v>
      </c>
      <c r="C2294" t="s">
        <v>561</v>
      </c>
      <c r="D2294" t="s">
        <v>520</v>
      </c>
      <c r="E2294" t="s">
        <v>134</v>
      </c>
      <c r="F2294" t="s">
        <v>315</v>
      </c>
      <c r="G2294">
        <v>7074</v>
      </c>
    </row>
    <row r="2295" spans="1:7" x14ac:dyDescent="0.35">
      <c r="A2295">
        <v>2025</v>
      </c>
      <c r="B2295">
        <v>10</v>
      </c>
      <c r="C2295" t="s">
        <v>561</v>
      </c>
      <c r="D2295" t="s">
        <v>520</v>
      </c>
      <c r="E2295" t="s">
        <v>196</v>
      </c>
      <c r="F2295" t="s">
        <v>374</v>
      </c>
      <c r="G2295">
        <v>10</v>
      </c>
    </row>
    <row r="2296" spans="1:7" x14ac:dyDescent="0.35">
      <c r="A2296">
        <v>2025</v>
      </c>
      <c r="B2296">
        <v>10</v>
      </c>
      <c r="C2296" t="s">
        <v>561</v>
      </c>
      <c r="D2296" t="s">
        <v>520</v>
      </c>
      <c r="E2296" t="s">
        <v>198</v>
      </c>
      <c r="F2296" t="s">
        <v>376</v>
      </c>
      <c r="G2296">
        <v>1567</v>
      </c>
    </row>
    <row r="2297" spans="1:7" x14ac:dyDescent="0.35">
      <c r="A2297">
        <v>2025</v>
      </c>
      <c r="B2297">
        <v>10</v>
      </c>
      <c r="C2297" t="s">
        <v>561</v>
      </c>
      <c r="D2297" t="s">
        <v>520</v>
      </c>
      <c r="E2297" t="s">
        <v>200</v>
      </c>
      <c r="F2297" t="s">
        <v>378</v>
      </c>
      <c r="G2297">
        <v>2951</v>
      </c>
    </row>
    <row r="2298" spans="1:7" x14ac:dyDescent="0.35">
      <c r="A2298">
        <v>2025</v>
      </c>
      <c r="B2298">
        <v>10</v>
      </c>
      <c r="C2298" t="s">
        <v>561</v>
      </c>
      <c r="D2298" t="s">
        <v>520</v>
      </c>
      <c r="E2298" t="s">
        <v>201</v>
      </c>
      <c r="F2298" t="s">
        <v>379</v>
      </c>
      <c r="G2298">
        <v>24049</v>
      </c>
    </row>
    <row r="2299" spans="1:7" x14ac:dyDescent="0.35">
      <c r="A2299">
        <v>2025</v>
      </c>
      <c r="B2299">
        <v>10</v>
      </c>
      <c r="C2299" t="s">
        <v>561</v>
      </c>
      <c r="D2299" t="s">
        <v>33</v>
      </c>
      <c r="E2299" t="s">
        <v>209</v>
      </c>
      <c r="F2299" t="s">
        <v>388</v>
      </c>
      <c r="G2299">
        <v>9668</v>
      </c>
    </row>
    <row r="2300" spans="1:7" x14ac:dyDescent="0.35">
      <c r="A2300">
        <v>2025</v>
      </c>
      <c r="B2300">
        <v>10</v>
      </c>
      <c r="C2300" t="s">
        <v>561</v>
      </c>
      <c r="D2300" t="s">
        <v>12</v>
      </c>
      <c r="E2300" t="s">
        <v>210</v>
      </c>
      <c r="F2300" t="s">
        <v>389</v>
      </c>
      <c r="G2300">
        <v>1666</v>
      </c>
    </row>
    <row r="2301" spans="1:7" x14ac:dyDescent="0.35">
      <c r="A2301">
        <v>2025</v>
      </c>
      <c r="B2301">
        <v>10</v>
      </c>
      <c r="C2301" t="s">
        <v>561</v>
      </c>
      <c r="D2301" t="s">
        <v>12</v>
      </c>
      <c r="E2301" t="s">
        <v>211</v>
      </c>
      <c r="F2301" t="s">
        <v>390</v>
      </c>
      <c r="G2301">
        <v>1392</v>
      </c>
    </row>
    <row r="2302" spans="1:7" x14ac:dyDescent="0.35">
      <c r="A2302">
        <v>2025</v>
      </c>
      <c r="B2302">
        <v>10</v>
      </c>
      <c r="C2302" t="s">
        <v>561</v>
      </c>
      <c r="D2302" t="s">
        <v>12</v>
      </c>
      <c r="E2302" t="s">
        <v>212</v>
      </c>
      <c r="F2302" t="s">
        <v>391</v>
      </c>
      <c r="G2302">
        <v>3130</v>
      </c>
    </row>
    <row r="2303" spans="1:7" x14ac:dyDescent="0.35">
      <c r="A2303">
        <v>2025</v>
      </c>
      <c r="B2303">
        <v>10</v>
      </c>
      <c r="C2303" t="s">
        <v>561</v>
      </c>
      <c r="D2303" t="s">
        <v>12</v>
      </c>
      <c r="E2303" t="s">
        <v>273</v>
      </c>
      <c r="F2303" t="s">
        <v>453</v>
      </c>
      <c r="G2303">
        <v>1613</v>
      </c>
    </row>
    <row r="2304" spans="1:7" x14ac:dyDescent="0.35">
      <c r="A2304">
        <v>2025</v>
      </c>
      <c r="B2304">
        <v>10</v>
      </c>
      <c r="C2304" t="s">
        <v>561</v>
      </c>
      <c r="D2304" t="s">
        <v>12</v>
      </c>
      <c r="E2304" t="s">
        <v>213</v>
      </c>
      <c r="F2304" t="s">
        <v>392</v>
      </c>
      <c r="G2304">
        <v>12700</v>
      </c>
    </row>
    <row r="2305" spans="1:7" x14ac:dyDescent="0.35">
      <c r="A2305">
        <v>2025</v>
      </c>
      <c r="B2305">
        <v>10</v>
      </c>
      <c r="C2305" t="s">
        <v>561</v>
      </c>
      <c r="D2305" t="s">
        <v>12</v>
      </c>
      <c r="E2305" t="s">
        <v>214</v>
      </c>
      <c r="F2305" t="s">
        <v>394</v>
      </c>
      <c r="G2305">
        <v>5218</v>
      </c>
    </row>
    <row r="2306" spans="1:7" x14ac:dyDescent="0.35">
      <c r="A2306">
        <v>2025</v>
      </c>
      <c r="B2306">
        <v>10</v>
      </c>
      <c r="C2306" t="s">
        <v>561</v>
      </c>
      <c r="D2306" t="s">
        <v>12</v>
      </c>
      <c r="E2306" t="s">
        <v>215</v>
      </c>
      <c r="F2306" t="s">
        <v>395</v>
      </c>
      <c r="G2306">
        <v>1957</v>
      </c>
    </row>
    <row r="2307" spans="1:7" x14ac:dyDescent="0.35">
      <c r="A2307">
        <v>2025</v>
      </c>
      <c r="B2307">
        <v>10</v>
      </c>
      <c r="C2307" t="s">
        <v>561</v>
      </c>
      <c r="D2307" t="s">
        <v>12</v>
      </c>
      <c r="E2307" t="s">
        <v>217</v>
      </c>
      <c r="F2307" t="s">
        <v>397</v>
      </c>
      <c r="G2307">
        <v>1972</v>
      </c>
    </row>
    <row r="2308" spans="1:7" x14ac:dyDescent="0.35">
      <c r="A2308">
        <v>2025</v>
      </c>
      <c r="B2308">
        <v>10</v>
      </c>
      <c r="C2308" t="s">
        <v>561</v>
      </c>
      <c r="D2308" t="s">
        <v>12</v>
      </c>
      <c r="E2308" t="s">
        <v>218</v>
      </c>
      <c r="F2308" t="s">
        <v>398</v>
      </c>
      <c r="G2308">
        <v>5312</v>
      </c>
    </row>
    <row r="2309" spans="1:7" x14ac:dyDescent="0.35">
      <c r="A2309">
        <v>2025</v>
      </c>
      <c r="B2309">
        <v>10</v>
      </c>
      <c r="C2309" t="s">
        <v>561</v>
      </c>
      <c r="D2309" t="s">
        <v>12</v>
      </c>
      <c r="E2309" t="s">
        <v>219</v>
      </c>
      <c r="F2309" t="s">
        <v>399</v>
      </c>
      <c r="G2309">
        <v>4388</v>
      </c>
    </row>
    <row r="2310" spans="1:7" x14ac:dyDescent="0.35">
      <c r="A2310">
        <v>2025</v>
      </c>
      <c r="B2310">
        <v>10</v>
      </c>
      <c r="C2310" t="s">
        <v>561</v>
      </c>
      <c r="D2310" t="s">
        <v>12</v>
      </c>
      <c r="E2310" t="s">
        <v>220</v>
      </c>
      <c r="F2310" t="s">
        <v>400</v>
      </c>
      <c r="G2310">
        <v>4517</v>
      </c>
    </row>
    <row r="2311" spans="1:7" x14ac:dyDescent="0.35">
      <c r="A2311">
        <v>2025</v>
      </c>
      <c r="B2311">
        <v>10</v>
      </c>
      <c r="C2311" t="s">
        <v>561</v>
      </c>
      <c r="D2311" t="s">
        <v>12</v>
      </c>
      <c r="E2311" t="s">
        <v>221</v>
      </c>
      <c r="F2311" t="s">
        <v>401</v>
      </c>
      <c r="G2311">
        <v>2490</v>
      </c>
    </row>
    <row r="2312" spans="1:7" x14ac:dyDescent="0.35">
      <c r="A2312">
        <v>2025</v>
      </c>
      <c r="B2312">
        <v>10</v>
      </c>
      <c r="C2312" t="s">
        <v>561</v>
      </c>
      <c r="D2312" t="s">
        <v>12</v>
      </c>
      <c r="E2312" t="s">
        <v>222</v>
      </c>
      <c r="F2312" t="s">
        <v>402</v>
      </c>
      <c r="G2312">
        <v>3736</v>
      </c>
    </row>
    <row r="2313" spans="1:7" x14ac:dyDescent="0.35">
      <c r="A2313">
        <v>2025</v>
      </c>
      <c r="B2313">
        <v>10</v>
      </c>
      <c r="C2313" t="s">
        <v>561</v>
      </c>
      <c r="D2313" t="s">
        <v>28</v>
      </c>
      <c r="E2313" t="s">
        <v>223</v>
      </c>
      <c r="F2313" t="s">
        <v>403</v>
      </c>
      <c r="G2313">
        <v>44426</v>
      </c>
    </row>
    <row r="2314" spans="1:7" x14ac:dyDescent="0.35">
      <c r="A2314">
        <v>2025</v>
      </c>
      <c r="B2314">
        <v>10</v>
      </c>
      <c r="C2314" t="s">
        <v>561</v>
      </c>
      <c r="D2314" t="s">
        <v>28</v>
      </c>
      <c r="E2314" t="s">
        <v>224</v>
      </c>
      <c r="F2314" t="s">
        <v>404</v>
      </c>
      <c r="G2314">
        <v>20763</v>
      </c>
    </row>
    <row r="2315" spans="1:7" x14ac:dyDescent="0.35">
      <c r="A2315">
        <v>2025</v>
      </c>
      <c r="B2315">
        <v>10</v>
      </c>
      <c r="C2315" t="s">
        <v>561</v>
      </c>
      <c r="D2315" t="s">
        <v>64</v>
      </c>
      <c r="E2315" t="s">
        <v>225</v>
      </c>
      <c r="F2315" t="s">
        <v>405</v>
      </c>
      <c r="G2315">
        <v>4132</v>
      </c>
    </row>
    <row r="2316" spans="1:7" x14ac:dyDescent="0.35">
      <c r="A2316">
        <v>2025</v>
      </c>
      <c r="B2316">
        <v>10</v>
      </c>
      <c r="C2316" t="s">
        <v>561</v>
      </c>
      <c r="D2316" t="s">
        <v>102</v>
      </c>
      <c r="E2316" t="s">
        <v>227</v>
      </c>
      <c r="F2316" t="s">
        <v>407</v>
      </c>
      <c r="G2316">
        <v>36647</v>
      </c>
    </row>
    <row r="2317" spans="1:7" x14ac:dyDescent="0.35">
      <c r="A2317">
        <v>2025</v>
      </c>
      <c r="B2317">
        <v>10</v>
      </c>
      <c r="C2317" t="s">
        <v>561</v>
      </c>
      <c r="D2317" t="s">
        <v>25</v>
      </c>
      <c r="E2317" t="s">
        <v>228</v>
      </c>
      <c r="F2317" t="s">
        <v>408</v>
      </c>
      <c r="G2317">
        <v>13200</v>
      </c>
    </row>
    <row r="2318" spans="1:7" x14ac:dyDescent="0.35">
      <c r="A2318">
        <v>2025</v>
      </c>
      <c r="B2318">
        <v>10</v>
      </c>
      <c r="C2318" t="s">
        <v>561</v>
      </c>
      <c r="D2318" t="s">
        <v>25</v>
      </c>
      <c r="E2318" t="s">
        <v>274</v>
      </c>
      <c r="F2318" t="s">
        <v>454</v>
      </c>
      <c r="G2318">
        <v>16500</v>
      </c>
    </row>
    <row r="2319" spans="1:7" x14ac:dyDescent="0.35">
      <c r="A2319">
        <v>2025</v>
      </c>
      <c r="B2319">
        <v>10</v>
      </c>
      <c r="C2319" t="s">
        <v>561</v>
      </c>
      <c r="D2319" t="s">
        <v>229</v>
      </c>
      <c r="E2319" t="s">
        <v>230</v>
      </c>
      <c r="F2319" t="s">
        <v>409</v>
      </c>
      <c r="G2319">
        <v>-634975</v>
      </c>
    </row>
    <row r="2320" spans="1:7" x14ac:dyDescent="0.35">
      <c r="A2320">
        <v>2025</v>
      </c>
      <c r="B2320">
        <v>10</v>
      </c>
      <c r="C2320" t="s">
        <v>561</v>
      </c>
      <c r="D2320" t="s">
        <v>13</v>
      </c>
      <c r="E2320" t="s">
        <v>232</v>
      </c>
      <c r="F2320" t="s">
        <v>411</v>
      </c>
      <c r="G2320">
        <v>380</v>
      </c>
    </row>
    <row r="2321" spans="1:7" x14ac:dyDescent="0.35">
      <c r="A2321">
        <v>2025</v>
      </c>
      <c r="B2321">
        <v>10</v>
      </c>
      <c r="C2321" t="s">
        <v>561</v>
      </c>
      <c r="D2321" t="s">
        <v>94</v>
      </c>
      <c r="E2321" t="s">
        <v>233</v>
      </c>
      <c r="F2321" t="s">
        <v>412</v>
      </c>
      <c r="G2321">
        <v>28000</v>
      </c>
    </row>
    <row r="2322" spans="1:7" x14ac:dyDescent="0.35">
      <c r="A2322">
        <v>2025</v>
      </c>
      <c r="B2322">
        <v>10</v>
      </c>
      <c r="C2322" t="s">
        <v>561</v>
      </c>
      <c r="D2322" t="s">
        <v>36</v>
      </c>
      <c r="E2322" t="s">
        <v>275</v>
      </c>
      <c r="F2322" t="s">
        <v>455</v>
      </c>
      <c r="G2322">
        <v>41150</v>
      </c>
    </row>
    <row r="2323" spans="1:7" x14ac:dyDescent="0.35">
      <c r="A2323">
        <v>2025</v>
      </c>
      <c r="B2323">
        <v>10</v>
      </c>
      <c r="C2323" t="s">
        <v>561</v>
      </c>
      <c r="D2323" t="s">
        <v>40</v>
      </c>
      <c r="E2323" t="s">
        <v>235</v>
      </c>
      <c r="F2323" t="s">
        <v>414</v>
      </c>
      <c r="G2323">
        <v>11645</v>
      </c>
    </row>
    <row r="2324" spans="1:7" x14ac:dyDescent="0.35">
      <c r="A2324">
        <v>2025</v>
      </c>
      <c r="B2324">
        <v>10</v>
      </c>
      <c r="C2324" t="s">
        <v>561</v>
      </c>
      <c r="D2324" t="s">
        <v>45</v>
      </c>
      <c r="E2324" t="s">
        <v>276</v>
      </c>
      <c r="F2324" t="s">
        <v>456</v>
      </c>
      <c r="G2324">
        <v>71841</v>
      </c>
    </row>
    <row r="2325" spans="1:7" x14ac:dyDescent="0.35">
      <c r="A2325">
        <v>2025</v>
      </c>
      <c r="B2325">
        <v>10</v>
      </c>
      <c r="C2325" t="s">
        <v>561</v>
      </c>
      <c r="D2325" t="s">
        <v>76</v>
      </c>
      <c r="E2325" t="s">
        <v>236</v>
      </c>
      <c r="F2325" t="s">
        <v>415</v>
      </c>
      <c r="G2325">
        <v>4086061</v>
      </c>
    </row>
    <row r="2326" spans="1:7" x14ac:dyDescent="0.35">
      <c r="A2326">
        <v>2025</v>
      </c>
      <c r="B2326">
        <v>10</v>
      </c>
      <c r="C2326" t="s">
        <v>561</v>
      </c>
      <c r="D2326" t="s">
        <v>76</v>
      </c>
      <c r="E2326" t="s">
        <v>237</v>
      </c>
      <c r="F2326" t="s">
        <v>416</v>
      </c>
      <c r="G2326">
        <v>36647.29</v>
      </c>
    </row>
    <row r="2327" spans="1:7" x14ac:dyDescent="0.35">
      <c r="A2327">
        <v>2025</v>
      </c>
      <c r="B2327">
        <v>10</v>
      </c>
      <c r="C2327" t="s">
        <v>561</v>
      </c>
      <c r="D2327" t="s">
        <v>76</v>
      </c>
      <c r="E2327" t="s">
        <v>238</v>
      </c>
      <c r="F2327" t="s">
        <v>417</v>
      </c>
      <c r="G2327">
        <v>-165934.49</v>
      </c>
    </row>
    <row r="2328" spans="1:7" x14ac:dyDescent="0.35">
      <c r="A2328">
        <v>2025</v>
      </c>
      <c r="B2328">
        <v>10</v>
      </c>
      <c r="C2328" t="s">
        <v>561</v>
      </c>
      <c r="D2328" t="s">
        <v>76</v>
      </c>
      <c r="E2328" t="s">
        <v>239</v>
      </c>
      <c r="F2328" t="s">
        <v>418</v>
      </c>
      <c r="G2328">
        <v>1994378.82</v>
      </c>
    </row>
    <row r="2329" spans="1:7" x14ac:dyDescent="0.35">
      <c r="A2329">
        <v>2025</v>
      </c>
      <c r="B2329">
        <v>10</v>
      </c>
      <c r="C2329" t="s">
        <v>561</v>
      </c>
      <c r="D2329" t="s">
        <v>35</v>
      </c>
      <c r="E2329" t="s">
        <v>240</v>
      </c>
      <c r="F2329" t="s">
        <v>419</v>
      </c>
      <c r="G2329">
        <v>181282.4</v>
      </c>
    </row>
    <row r="2330" spans="1:7" x14ac:dyDescent="0.35">
      <c r="A2330">
        <v>2025</v>
      </c>
      <c r="B2330">
        <v>10</v>
      </c>
      <c r="C2330" t="s">
        <v>561</v>
      </c>
      <c r="D2330" t="s">
        <v>103</v>
      </c>
      <c r="E2330" t="s">
        <v>242</v>
      </c>
      <c r="F2330" t="s">
        <v>421</v>
      </c>
      <c r="G2330">
        <v>-165934</v>
      </c>
    </row>
    <row r="2331" spans="1:7" x14ac:dyDescent="0.35">
      <c r="A2331">
        <v>2025</v>
      </c>
      <c r="B2331">
        <v>10</v>
      </c>
      <c r="C2331" t="s">
        <v>561</v>
      </c>
      <c r="D2331" t="s">
        <v>104</v>
      </c>
      <c r="E2331" t="s">
        <v>243</v>
      </c>
      <c r="F2331" t="s">
        <v>422</v>
      </c>
      <c r="G2331">
        <v>1994379</v>
      </c>
    </row>
    <row r="2332" spans="1:7" x14ac:dyDescent="0.35">
      <c r="A2332">
        <v>2025</v>
      </c>
      <c r="B2332">
        <v>10</v>
      </c>
      <c r="C2332" t="s">
        <v>561</v>
      </c>
      <c r="D2332" t="s">
        <v>244</v>
      </c>
      <c r="E2332" t="s">
        <v>245</v>
      </c>
      <c r="F2332" t="s">
        <v>423</v>
      </c>
      <c r="G2332">
        <v>345737</v>
      </c>
    </row>
    <row r="2333" spans="1:7" x14ac:dyDescent="0.35">
      <c r="A2333">
        <v>2025</v>
      </c>
      <c r="B2333">
        <v>10</v>
      </c>
      <c r="C2333" t="s">
        <v>561</v>
      </c>
      <c r="D2333" t="s">
        <v>14</v>
      </c>
      <c r="E2333" t="s">
        <v>131</v>
      </c>
      <c r="F2333" t="s">
        <v>425</v>
      </c>
      <c r="G2333">
        <v>178289</v>
      </c>
    </row>
    <row r="2334" spans="1:7" x14ac:dyDescent="0.35">
      <c r="A2334">
        <v>2025</v>
      </c>
      <c r="B2334">
        <v>10</v>
      </c>
      <c r="C2334" t="s">
        <v>561</v>
      </c>
      <c r="D2334" t="s">
        <v>30</v>
      </c>
      <c r="E2334" t="s">
        <v>247</v>
      </c>
      <c r="F2334" t="s">
        <v>426</v>
      </c>
      <c r="G2334">
        <v>11253</v>
      </c>
    </row>
    <row r="2335" spans="1:7" x14ac:dyDescent="0.35">
      <c r="A2335">
        <v>2025</v>
      </c>
      <c r="B2335">
        <v>10</v>
      </c>
      <c r="C2335" t="s">
        <v>561</v>
      </c>
      <c r="D2335" t="s">
        <v>15</v>
      </c>
      <c r="E2335" t="s">
        <v>248</v>
      </c>
      <c r="F2335" t="s">
        <v>427</v>
      </c>
      <c r="G2335">
        <v>27579</v>
      </c>
    </row>
    <row r="2336" spans="1:7" x14ac:dyDescent="0.35">
      <c r="A2336">
        <v>2025</v>
      </c>
      <c r="B2336">
        <v>10</v>
      </c>
      <c r="C2336" t="s">
        <v>561</v>
      </c>
      <c r="D2336" t="s">
        <v>90</v>
      </c>
      <c r="E2336" t="s">
        <v>277</v>
      </c>
      <c r="F2336" t="s">
        <v>457</v>
      </c>
      <c r="G2336">
        <v>678867</v>
      </c>
    </row>
    <row r="2337" spans="1:7" x14ac:dyDescent="0.35">
      <c r="A2337">
        <v>2025</v>
      </c>
      <c r="B2337">
        <v>10</v>
      </c>
      <c r="C2337" t="s">
        <v>561</v>
      </c>
      <c r="D2337" t="s">
        <v>90</v>
      </c>
      <c r="E2337" t="s">
        <v>249</v>
      </c>
      <c r="F2337" t="s">
        <v>428</v>
      </c>
      <c r="G2337">
        <v>16316.7</v>
      </c>
    </row>
    <row r="2338" spans="1:7" x14ac:dyDescent="0.35">
      <c r="A2338">
        <v>2025</v>
      </c>
      <c r="B2338">
        <v>10</v>
      </c>
      <c r="C2338" t="s">
        <v>561</v>
      </c>
      <c r="D2338" t="s">
        <v>84</v>
      </c>
      <c r="E2338" t="s">
        <v>250</v>
      </c>
      <c r="F2338" t="s">
        <v>429</v>
      </c>
      <c r="G2338">
        <v>1803335.81</v>
      </c>
    </row>
    <row r="2339" spans="1:7" x14ac:dyDescent="0.35">
      <c r="A2339">
        <v>2025</v>
      </c>
      <c r="B2339">
        <v>10</v>
      </c>
      <c r="C2339" t="s">
        <v>561</v>
      </c>
      <c r="D2339" t="s">
        <v>81</v>
      </c>
      <c r="E2339" t="s">
        <v>251</v>
      </c>
      <c r="F2339" t="s">
        <v>430</v>
      </c>
      <c r="G2339">
        <v>1614909.6</v>
      </c>
    </row>
    <row r="2340" spans="1:7" x14ac:dyDescent="0.35">
      <c r="A2340">
        <v>2025</v>
      </c>
      <c r="B2340">
        <v>10</v>
      </c>
      <c r="C2340" t="s">
        <v>561</v>
      </c>
      <c r="D2340" t="s">
        <v>81</v>
      </c>
      <c r="E2340" t="s">
        <v>252</v>
      </c>
      <c r="F2340" t="s">
        <v>431</v>
      </c>
      <c r="G2340">
        <v>10837825</v>
      </c>
    </row>
    <row r="2341" spans="1:7" x14ac:dyDescent="0.35">
      <c r="A2341">
        <v>2025</v>
      </c>
      <c r="B2341">
        <v>10</v>
      </c>
      <c r="C2341" t="s">
        <v>561</v>
      </c>
      <c r="D2341" t="s">
        <v>81</v>
      </c>
      <c r="E2341" t="s">
        <v>289</v>
      </c>
      <c r="F2341" t="s">
        <v>471</v>
      </c>
      <c r="G2341">
        <v>2203900</v>
      </c>
    </row>
    <row r="2342" spans="1:7" x14ac:dyDescent="0.35">
      <c r="A2342">
        <v>2025</v>
      </c>
      <c r="B2342">
        <v>10</v>
      </c>
      <c r="C2342" t="s">
        <v>561</v>
      </c>
      <c r="D2342" t="s">
        <v>44</v>
      </c>
      <c r="E2342" t="s">
        <v>253</v>
      </c>
      <c r="F2342" t="s">
        <v>432</v>
      </c>
      <c r="G2342">
        <v>230290</v>
      </c>
    </row>
    <row r="2343" spans="1:7" x14ac:dyDescent="0.35">
      <c r="A2343">
        <v>2025</v>
      </c>
      <c r="B2343">
        <v>10</v>
      </c>
      <c r="C2343" t="s">
        <v>561</v>
      </c>
      <c r="D2343" t="s">
        <v>16</v>
      </c>
      <c r="E2343" t="s">
        <v>254</v>
      </c>
      <c r="F2343" t="s">
        <v>433</v>
      </c>
      <c r="G2343">
        <v>28912</v>
      </c>
    </row>
    <row r="2344" spans="1:7" x14ac:dyDescent="0.35">
      <c r="A2344">
        <v>2025</v>
      </c>
      <c r="B2344">
        <v>10</v>
      </c>
      <c r="C2344" t="s">
        <v>561</v>
      </c>
      <c r="D2344" t="s">
        <v>34</v>
      </c>
      <c r="E2344" t="s">
        <v>278</v>
      </c>
      <c r="F2344" t="s">
        <v>458</v>
      </c>
      <c r="G2344">
        <v>181261</v>
      </c>
    </row>
    <row r="2345" spans="1:7" x14ac:dyDescent="0.35">
      <c r="A2345">
        <v>2025</v>
      </c>
      <c r="B2345">
        <v>10</v>
      </c>
      <c r="C2345" t="s">
        <v>561</v>
      </c>
      <c r="D2345" t="s">
        <v>17</v>
      </c>
      <c r="E2345" t="s">
        <v>255</v>
      </c>
      <c r="F2345" t="s">
        <v>434</v>
      </c>
      <c r="G2345">
        <v>21134</v>
      </c>
    </row>
    <row r="2346" spans="1:7" x14ac:dyDescent="0.35">
      <c r="A2346">
        <v>2025</v>
      </c>
      <c r="B2346">
        <v>10</v>
      </c>
      <c r="C2346" t="s">
        <v>561</v>
      </c>
      <c r="D2346" t="s">
        <v>37</v>
      </c>
      <c r="E2346" t="s">
        <v>256</v>
      </c>
      <c r="F2346" t="s">
        <v>435</v>
      </c>
      <c r="G2346">
        <v>-145727.35</v>
      </c>
    </row>
    <row r="2347" spans="1:7" x14ac:dyDescent="0.35">
      <c r="A2347">
        <v>2025</v>
      </c>
      <c r="B2347">
        <v>10</v>
      </c>
      <c r="C2347" t="s">
        <v>561</v>
      </c>
      <c r="D2347" t="s">
        <v>37</v>
      </c>
      <c r="E2347" t="s">
        <v>257</v>
      </c>
      <c r="F2347" t="s">
        <v>436</v>
      </c>
      <c r="G2347">
        <v>-8866242.2799999993</v>
      </c>
    </row>
    <row r="2348" spans="1:7" x14ac:dyDescent="0.35">
      <c r="A2348">
        <v>2025</v>
      </c>
      <c r="B2348">
        <v>10</v>
      </c>
      <c r="C2348" t="s">
        <v>561</v>
      </c>
      <c r="D2348" t="s">
        <v>18</v>
      </c>
      <c r="E2348" t="s">
        <v>259</v>
      </c>
      <c r="F2348" t="s">
        <v>438</v>
      </c>
      <c r="G2348">
        <v>28628</v>
      </c>
    </row>
    <row r="2349" spans="1:7" x14ac:dyDescent="0.35">
      <c r="A2349">
        <v>2025</v>
      </c>
      <c r="B2349">
        <v>11</v>
      </c>
      <c r="C2349" t="s">
        <v>562</v>
      </c>
      <c r="E2349" t="s">
        <v>291</v>
      </c>
      <c r="F2349" t="s">
        <v>474</v>
      </c>
      <c r="G2349">
        <v>1604</v>
      </c>
    </row>
    <row r="2350" spans="1:7" x14ac:dyDescent="0.35">
      <c r="A2350">
        <v>2025</v>
      </c>
      <c r="B2350">
        <v>11</v>
      </c>
      <c r="C2350" t="s">
        <v>562</v>
      </c>
      <c r="E2350" t="s">
        <v>528</v>
      </c>
      <c r="F2350" t="s">
        <v>529</v>
      </c>
      <c r="G2350">
        <v>13816</v>
      </c>
    </row>
    <row r="2351" spans="1:7" x14ac:dyDescent="0.35">
      <c r="A2351">
        <v>2025</v>
      </c>
      <c r="B2351">
        <v>11</v>
      </c>
      <c r="C2351" t="s">
        <v>562</v>
      </c>
      <c r="E2351" t="s">
        <v>554</v>
      </c>
      <c r="F2351" t="s">
        <v>555</v>
      </c>
      <c r="G2351">
        <v>14002</v>
      </c>
    </row>
    <row r="2352" spans="1:7" x14ac:dyDescent="0.35">
      <c r="A2352">
        <v>2025</v>
      </c>
      <c r="B2352">
        <v>11</v>
      </c>
      <c r="C2352" t="s">
        <v>562</v>
      </c>
      <c r="D2352" t="s">
        <v>59</v>
      </c>
      <c r="E2352" t="s">
        <v>133</v>
      </c>
      <c r="F2352" t="s">
        <v>313</v>
      </c>
      <c r="G2352">
        <v>2550</v>
      </c>
    </row>
    <row r="2353" spans="1:7" x14ac:dyDescent="0.35">
      <c r="A2353">
        <v>2025</v>
      </c>
      <c r="B2353">
        <v>11</v>
      </c>
      <c r="C2353" t="s">
        <v>562</v>
      </c>
      <c r="D2353" t="s">
        <v>71</v>
      </c>
      <c r="E2353" t="s">
        <v>558</v>
      </c>
      <c r="F2353" t="s">
        <v>559</v>
      </c>
      <c r="G2353">
        <v>8750</v>
      </c>
    </row>
    <row r="2354" spans="1:7" x14ac:dyDescent="0.35">
      <c r="A2354">
        <v>2025</v>
      </c>
      <c r="B2354">
        <v>11</v>
      </c>
      <c r="C2354" t="s">
        <v>562</v>
      </c>
      <c r="D2354" t="s">
        <v>6</v>
      </c>
      <c r="E2354" t="s">
        <v>135</v>
      </c>
      <c r="F2354" t="s">
        <v>316</v>
      </c>
      <c r="G2354">
        <v>23621</v>
      </c>
    </row>
    <row r="2355" spans="1:7" x14ac:dyDescent="0.35">
      <c r="A2355">
        <v>2025</v>
      </c>
      <c r="B2355">
        <v>11</v>
      </c>
      <c r="C2355" t="s">
        <v>562</v>
      </c>
      <c r="D2355" t="s">
        <v>6</v>
      </c>
      <c r="E2355" t="s">
        <v>136</v>
      </c>
      <c r="F2355" t="s">
        <v>317</v>
      </c>
      <c r="G2355">
        <v>28447</v>
      </c>
    </row>
    <row r="2356" spans="1:7" x14ac:dyDescent="0.35">
      <c r="A2356">
        <v>2025</v>
      </c>
      <c r="B2356">
        <v>11</v>
      </c>
      <c r="C2356" t="s">
        <v>562</v>
      </c>
      <c r="D2356" t="s">
        <v>6</v>
      </c>
      <c r="E2356" t="s">
        <v>137</v>
      </c>
      <c r="F2356" t="s">
        <v>318</v>
      </c>
      <c r="G2356">
        <v>54820</v>
      </c>
    </row>
    <row r="2357" spans="1:7" x14ac:dyDescent="0.35">
      <c r="A2357">
        <v>2025</v>
      </c>
      <c r="B2357">
        <v>11</v>
      </c>
      <c r="C2357" t="s">
        <v>562</v>
      </c>
      <c r="D2357" t="s">
        <v>6</v>
      </c>
      <c r="E2357" t="s">
        <v>138</v>
      </c>
      <c r="F2357" t="s">
        <v>319</v>
      </c>
      <c r="G2357">
        <v>93225</v>
      </c>
    </row>
    <row r="2358" spans="1:7" x14ac:dyDescent="0.35">
      <c r="A2358">
        <v>2025</v>
      </c>
      <c r="B2358">
        <v>11</v>
      </c>
      <c r="C2358" t="s">
        <v>562</v>
      </c>
      <c r="D2358" t="s">
        <v>62</v>
      </c>
      <c r="E2358" t="s">
        <v>260</v>
      </c>
      <c r="F2358" t="s">
        <v>440</v>
      </c>
      <c r="G2358">
        <v>125383</v>
      </c>
    </row>
    <row r="2359" spans="1:7" x14ac:dyDescent="0.35">
      <c r="A2359">
        <v>2025</v>
      </c>
      <c r="B2359">
        <v>11</v>
      </c>
      <c r="C2359" t="s">
        <v>562</v>
      </c>
      <c r="D2359" t="s">
        <v>62</v>
      </c>
      <c r="E2359" t="s">
        <v>288</v>
      </c>
      <c r="F2359" t="s">
        <v>470</v>
      </c>
      <c r="G2359">
        <v>990</v>
      </c>
    </row>
    <row r="2360" spans="1:7" x14ac:dyDescent="0.35">
      <c r="A2360">
        <v>2025</v>
      </c>
      <c r="B2360">
        <v>11</v>
      </c>
      <c r="C2360" t="s">
        <v>562</v>
      </c>
      <c r="D2360" t="s">
        <v>62</v>
      </c>
      <c r="E2360" t="s">
        <v>261</v>
      </c>
      <c r="F2360" t="s">
        <v>441</v>
      </c>
      <c r="G2360">
        <v>3447</v>
      </c>
    </row>
    <row r="2361" spans="1:7" x14ac:dyDescent="0.35">
      <c r="A2361">
        <v>2025</v>
      </c>
      <c r="B2361">
        <v>11</v>
      </c>
      <c r="C2361" t="s">
        <v>562</v>
      </c>
      <c r="D2361" t="s">
        <v>31</v>
      </c>
      <c r="E2361" t="s">
        <v>143</v>
      </c>
      <c r="F2361" t="s">
        <v>324</v>
      </c>
      <c r="G2361">
        <v>351173</v>
      </c>
    </row>
    <row r="2362" spans="1:7" x14ac:dyDescent="0.35">
      <c r="A2362">
        <v>2025</v>
      </c>
      <c r="B2362">
        <v>11</v>
      </c>
      <c r="C2362" t="s">
        <v>562</v>
      </c>
      <c r="D2362" t="s">
        <v>91</v>
      </c>
      <c r="E2362" t="s">
        <v>497</v>
      </c>
      <c r="F2362" t="s">
        <v>498</v>
      </c>
      <c r="G2362">
        <v>251638.74</v>
      </c>
    </row>
    <row r="2363" spans="1:7" x14ac:dyDescent="0.35">
      <c r="A2363">
        <v>2025</v>
      </c>
      <c r="B2363">
        <v>11</v>
      </c>
      <c r="C2363" t="s">
        <v>562</v>
      </c>
      <c r="D2363" t="s">
        <v>26</v>
      </c>
      <c r="E2363" t="s">
        <v>144</v>
      </c>
      <c r="F2363" t="s">
        <v>325</v>
      </c>
      <c r="G2363">
        <v>21992</v>
      </c>
    </row>
    <row r="2364" spans="1:7" x14ac:dyDescent="0.35">
      <c r="A2364">
        <v>2025</v>
      </c>
      <c r="B2364">
        <v>11</v>
      </c>
      <c r="C2364" t="s">
        <v>562</v>
      </c>
      <c r="D2364" t="s">
        <v>41</v>
      </c>
      <c r="E2364" t="s">
        <v>145</v>
      </c>
      <c r="F2364" t="s">
        <v>326</v>
      </c>
      <c r="G2364">
        <v>13300</v>
      </c>
    </row>
    <row r="2365" spans="1:7" x14ac:dyDescent="0.35">
      <c r="A2365">
        <v>2025</v>
      </c>
      <c r="B2365">
        <v>11</v>
      </c>
      <c r="C2365" t="s">
        <v>562</v>
      </c>
      <c r="D2365" t="s">
        <v>7</v>
      </c>
      <c r="E2365" t="s">
        <v>147</v>
      </c>
      <c r="F2365" t="s">
        <v>328</v>
      </c>
      <c r="G2365">
        <v>136910</v>
      </c>
    </row>
    <row r="2366" spans="1:7" x14ac:dyDescent="0.35">
      <c r="A2366">
        <v>2025</v>
      </c>
      <c r="B2366">
        <v>11</v>
      </c>
      <c r="C2366" t="s">
        <v>562</v>
      </c>
      <c r="D2366" t="s">
        <v>67</v>
      </c>
      <c r="E2366" t="s">
        <v>148</v>
      </c>
      <c r="F2366" t="s">
        <v>329</v>
      </c>
      <c r="G2366">
        <v>6920</v>
      </c>
    </row>
    <row r="2367" spans="1:7" x14ac:dyDescent="0.35">
      <c r="A2367">
        <v>2025</v>
      </c>
      <c r="B2367">
        <v>11</v>
      </c>
      <c r="C2367" t="s">
        <v>562</v>
      </c>
      <c r="D2367" t="s">
        <v>67</v>
      </c>
      <c r="E2367" t="s">
        <v>149</v>
      </c>
      <c r="F2367" t="s">
        <v>330</v>
      </c>
      <c r="G2367">
        <v>3225</v>
      </c>
    </row>
    <row r="2368" spans="1:7" x14ac:dyDescent="0.35">
      <c r="A2368">
        <v>2025</v>
      </c>
      <c r="B2368">
        <v>11</v>
      </c>
      <c r="C2368" t="s">
        <v>562</v>
      </c>
      <c r="D2368" t="s">
        <v>67</v>
      </c>
      <c r="E2368" t="s">
        <v>150</v>
      </c>
      <c r="F2368" t="s">
        <v>331</v>
      </c>
      <c r="G2368">
        <v>54800</v>
      </c>
    </row>
    <row r="2369" spans="1:7" x14ac:dyDescent="0.35">
      <c r="A2369">
        <v>2025</v>
      </c>
      <c r="B2369">
        <v>11</v>
      </c>
      <c r="C2369" t="s">
        <v>562</v>
      </c>
      <c r="D2369" t="s">
        <v>67</v>
      </c>
      <c r="E2369" t="s">
        <v>151</v>
      </c>
      <c r="F2369" t="s">
        <v>332</v>
      </c>
      <c r="G2369">
        <v>14908</v>
      </c>
    </row>
    <row r="2370" spans="1:7" x14ac:dyDescent="0.35">
      <c r="A2370">
        <v>2025</v>
      </c>
      <c r="B2370">
        <v>11</v>
      </c>
      <c r="C2370" t="s">
        <v>562</v>
      </c>
      <c r="D2370" t="s">
        <v>67</v>
      </c>
      <c r="E2370" t="s">
        <v>152</v>
      </c>
      <c r="F2370" t="s">
        <v>333</v>
      </c>
      <c r="G2370">
        <v>29752</v>
      </c>
    </row>
    <row r="2371" spans="1:7" x14ac:dyDescent="0.35">
      <c r="A2371">
        <v>2025</v>
      </c>
      <c r="B2371">
        <v>11</v>
      </c>
      <c r="C2371" t="s">
        <v>562</v>
      </c>
      <c r="D2371" t="s">
        <v>93</v>
      </c>
      <c r="E2371" t="s">
        <v>153</v>
      </c>
      <c r="F2371" t="s">
        <v>334</v>
      </c>
      <c r="G2371">
        <v>24004.59</v>
      </c>
    </row>
    <row r="2372" spans="1:7" x14ac:dyDescent="0.35">
      <c r="A2372">
        <v>2025</v>
      </c>
      <c r="B2372">
        <v>11</v>
      </c>
      <c r="C2372" t="s">
        <v>562</v>
      </c>
      <c r="D2372" t="s">
        <v>93</v>
      </c>
      <c r="E2372" t="s">
        <v>154</v>
      </c>
      <c r="F2372" t="s">
        <v>335</v>
      </c>
      <c r="G2372">
        <v>49964.69</v>
      </c>
    </row>
    <row r="2373" spans="1:7" x14ac:dyDescent="0.35">
      <c r="A2373">
        <v>2025</v>
      </c>
      <c r="B2373">
        <v>11</v>
      </c>
      <c r="C2373" t="s">
        <v>562</v>
      </c>
      <c r="D2373" t="s">
        <v>93</v>
      </c>
      <c r="E2373" t="s">
        <v>281</v>
      </c>
      <c r="F2373" t="s">
        <v>461</v>
      </c>
      <c r="G2373">
        <v>49210</v>
      </c>
    </row>
    <row r="2374" spans="1:7" x14ac:dyDescent="0.35">
      <c r="A2374">
        <v>2025</v>
      </c>
      <c r="B2374">
        <v>11</v>
      </c>
      <c r="C2374" t="s">
        <v>562</v>
      </c>
      <c r="D2374" t="s">
        <v>89</v>
      </c>
      <c r="E2374" t="s">
        <v>155</v>
      </c>
      <c r="F2374" t="s">
        <v>336</v>
      </c>
      <c r="G2374">
        <v>-21419.23</v>
      </c>
    </row>
    <row r="2375" spans="1:7" x14ac:dyDescent="0.35">
      <c r="A2375">
        <v>2025</v>
      </c>
      <c r="B2375">
        <v>11</v>
      </c>
      <c r="C2375" t="s">
        <v>562</v>
      </c>
      <c r="D2375" t="s">
        <v>89</v>
      </c>
      <c r="E2375" t="s">
        <v>156</v>
      </c>
      <c r="F2375" t="s">
        <v>337</v>
      </c>
      <c r="G2375">
        <v>102778.6</v>
      </c>
    </row>
    <row r="2376" spans="1:7" x14ac:dyDescent="0.35">
      <c r="A2376">
        <v>2025</v>
      </c>
      <c r="B2376">
        <v>11</v>
      </c>
      <c r="C2376" t="s">
        <v>562</v>
      </c>
      <c r="D2376" t="s">
        <v>61</v>
      </c>
      <c r="E2376" t="s">
        <v>262</v>
      </c>
      <c r="F2376" t="s">
        <v>442</v>
      </c>
      <c r="G2376">
        <v>50747</v>
      </c>
    </row>
    <row r="2377" spans="1:7" x14ac:dyDescent="0.35">
      <c r="A2377">
        <v>2025</v>
      </c>
      <c r="B2377">
        <v>11</v>
      </c>
      <c r="C2377" t="s">
        <v>562</v>
      </c>
      <c r="D2377" t="s">
        <v>8</v>
      </c>
      <c r="E2377" t="s">
        <v>157</v>
      </c>
      <c r="F2377" t="s">
        <v>338</v>
      </c>
      <c r="G2377">
        <v>2505</v>
      </c>
    </row>
    <row r="2378" spans="1:7" x14ac:dyDescent="0.35">
      <c r="A2378">
        <v>2025</v>
      </c>
      <c r="B2378">
        <v>11</v>
      </c>
      <c r="C2378" t="s">
        <v>562</v>
      </c>
      <c r="D2378" t="s">
        <v>20</v>
      </c>
      <c r="E2378" t="s">
        <v>158</v>
      </c>
      <c r="F2378" t="s">
        <v>339</v>
      </c>
      <c r="G2378">
        <v>1969017</v>
      </c>
    </row>
    <row r="2379" spans="1:7" x14ac:dyDescent="0.35">
      <c r="A2379">
        <v>2025</v>
      </c>
      <c r="B2379">
        <v>11</v>
      </c>
      <c r="C2379" t="s">
        <v>562</v>
      </c>
      <c r="D2379" t="s">
        <v>21</v>
      </c>
      <c r="E2379" t="s">
        <v>159</v>
      </c>
      <c r="F2379" t="s">
        <v>340</v>
      </c>
      <c r="G2379">
        <v>119485</v>
      </c>
    </row>
    <row r="2380" spans="1:7" x14ac:dyDescent="0.35">
      <c r="A2380">
        <v>2025</v>
      </c>
      <c r="B2380">
        <v>11</v>
      </c>
      <c r="C2380" t="s">
        <v>562</v>
      </c>
      <c r="D2380" t="s">
        <v>160</v>
      </c>
      <c r="E2380" t="s">
        <v>161</v>
      </c>
      <c r="F2380" t="s">
        <v>341</v>
      </c>
      <c r="G2380">
        <v>208794</v>
      </c>
    </row>
    <row r="2381" spans="1:7" x14ac:dyDescent="0.35">
      <c r="A2381">
        <v>2025</v>
      </c>
      <c r="B2381">
        <v>11</v>
      </c>
      <c r="C2381" t="s">
        <v>562</v>
      </c>
      <c r="D2381" t="s">
        <v>32</v>
      </c>
      <c r="E2381" t="s">
        <v>162</v>
      </c>
      <c r="F2381" t="s">
        <v>342</v>
      </c>
      <c r="G2381">
        <v>35594</v>
      </c>
    </row>
    <row r="2382" spans="1:7" x14ac:dyDescent="0.35">
      <c r="A2382">
        <v>2025</v>
      </c>
      <c r="B2382">
        <v>11</v>
      </c>
      <c r="C2382" t="s">
        <v>562</v>
      </c>
      <c r="D2382" t="s">
        <v>27</v>
      </c>
      <c r="E2382" t="s">
        <v>166</v>
      </c>
      <c r="F2382" t="s">
        <v>345</v>
      </c>
      <c r="G2382">
        <v>105966</v>
      </c>
    </row>
    <row r="2383" spans="1:7" x14ac:dyDescent="0.35">
      <c r="A2383">
        <v>2025</v>
      </c>
      <c r="B2383">
        <v>11</v>
      </c>
      <c r="C2383" t="s">
        <v>562</v>
      </c>
      <c r="D2383" t="s">
        <v>167</v>
      </c>
      <c r="E2383" t="s">
        <v>167</v>
      </c>
      <c r="F2383" t="s">
        <v>346</v>
      </c>
      <c r="G2383">
        <v>-3027758</v>
      </c>
    </row>
    <row r="2384" spans="1:7" x14ac:dyDescent="0.35">
      <c r="A2384">
        <v>2025</v>
      </c>
      <c r="B2384">
        <v>11</v>
      </c>
      <c r="C2384" t="s">
        <v>562</v>
      </c>
      <c r="D2384" t="s">
        <v>9</v>
      </c>
      <c r="E2384" t="s">
        <v>168</v>
      </c>
      <c r="F2384" t="s">
        <v>347</v>
      </c>
      <c r="G2384">
        <v>2020</v>
      </c>
    </row>
    <row r="2385" spans="1:7" x14ac:dyDescent="0.35">
      <c r="A2385">
        <v>2025</v>
      </c>
      <c r="B2385">
        <v>11</v>
      </c>
      <c r="C2385" t="s">
        <v>562</v>
      </c>
      <c r="D2385" t="s">
        <v>9</v>
      </c>
      <c r="E2385" t="s">
        <v>169</v>
      </c>
      <c r="F2385" t="s">
        <v>348</v>
      </c>
      <c r="G2385">
        <v>9980</v>
      </c>
    </row>
    <row r="2386" spans="1:7" x14ac:dyDescent="0.35">
      <c r="A2386">
        <v>2025</v>
      </c>
      <c r="B2386">
        <v>11</v>
      </c>
      <c r="C2386" t="s">
        <v>562</v>
      </c>
      <c r="D2386" t="s">
        <v>72</v>
      </c>
      <c r="E2386" t="s">
        <v>170</v>
      </c>
      <c r="F2386" t="s">
        <v>349</v>
      </c>
      <c r="G2386">
        <v>260357</v>
      </c>
    </row>
    <row r="2387" spans="1:7" x14ac:dyDescent="0.35">
      <c r="A2387">
        <v>2025</v>
      </c>
      <c r="B2387">
        <v>11</v>
      </c>
      <c r="C2387" t="s">
        <v>562</v>
      </c>
      <c r="D2387" t="s">
        <v>39</v>
      </c>
      <c r="E2387" t="s">
        <v>171</v>
      </c>
      <c r="F2387" t="s">
        <v>350</v>
      </c>
      <c r="G2387">
        <v>19439</v>
      </c>
    </row>
    <row r="2388" spans="1:7" x14ac:dyDescent="0.35">
      <c r="A2388">
        <v>2025</v>
      </c>
      <c r="B2388">
        <v>11</v>
      </c>
      <c r="C2388" t="s">
        <v>562</v>
      </c>
      <c r="D2388" t="s">
        <v>10</v>
      </c>
      <c r="E2388" t="s">
        <v>172</v>
      </c>
      <c r="F2388" t="s">
        <v>351</v>
      </c>
      <c r="G2388">
        <v>120676</v>
      </c>
    </row>
    <row r="2389" spans="1:7" x14ac:dyDescent="0.35">
      <c r="A2389">
        <v>2025</v>
      </c>
      <c r="B2389">
        <v>11</v>
      </c>
      <c r="C2389" t="s">
        <v>562</v>
      </c>
      <c r="D2389" t="s">
        <v>563</v>
      </c>
      <c r="E2389" t="s">
        <v>564</v>
      </c>
      <c r="F2389" t="s">
        <v>565</v>
      </c>
      <c r="G2389">
        <v>4293980</v>
      </c>
    </row>
    <row r="2390" spans="1:7" x14ac:dyDescent="0.35">
      <c r="A2390">
        <v>2025</v>
      </c>
      <c r="B2390">
        <v>11</v>
      </c>
      <c r="C2390" t="s">
        <v>562</v>
      </c>
      <c r="D2390" t="s">
        <v>66</v>
      </c>
      <c r="E2390" t="s">
        <v>173</v>
      </c>
      <c r="F2390" t="s">
        <v>352</v>
      </c>
      <c r="G2390">
        <v>395185</v>
      </c>
    </row>
    <row r="2391" spans="1:7" x14ac:dyDescent="0.35">
      <c r="A2391">
        <v>2025</v>
      </c>
      <c r="B2391">
        <v>11</v>
      </c>
      <c r="C2391" t="s">
        <v>562</v>
      </c>
      <c r="D2391" t="s">
        <v>66</v>
      </c>
      <c r="E2391" t="s">
        <v>174</v>
      </c>
      <c r="F2391" t="s">
        <v>353</v>
      </c>
      <c r="G2391">
        <v>68017</v>
      </c>
    </row>
    <row r="2392" spans="1:7" x14ac:dyDescent="0.35">
      <c r="A2392">
        <v>2025</v>
      </c>
      <c r="B2392">
        <v>11</v>
      </c>
      <c r="C2392" t="s">
        <v>562</v>
      </c>
      <c r="D2392" t="s">
        <v>66</v>
      </c>
      <c r="E2392" t="s">
        <v>175</v>
      </c>
      <c r="F2392" t="s">
        <v>354</v>
      </c>
      <c r="G2392">
        <v>483</v>
      </c>
    </row>
    <row r="2393" spans="1:7" x14ac:dyDescent="0.35">
      <c r="A2393">
        <v>2025</v>
      </c>
      <c r="B2393">
        <v>11</v>
      </c>
      <c r="C2393" t="s">
        <v>562</v>
      </c>
      <c r="D2393" t="s">
        <v>66</v>
      </c>
      <c r="E2393" t="s">
        <v>176</v>
      </c>
      <c r="F2393" t="s">
        <v>355</v>
      </c>
      <c r="G2393">
        <v>43554</v>
      </c>
    </row>
    <row r="2394" spans="1:7" x14ac:dyDescent="0.35">
      <c r="A2394">
        <v>2025</v>
      </c>
      <c r="B2394">
        <v>11</v>
      </c>
      <c r="C2394" t="s">
        <v>562</v>
      </c>
      <c r="D2394" t="s">
        <v>66</v>
      </c>
      <c r="E2394" t="s">
        <v>177</v>
      </c>
      <c r="F2394" t="s">
        <v>356</v>
      </c>
      <c r="G2394">
        <v>40239</v>
      </c>
    </row>
    <row r="2395" spans="1:7" x14ac:dyDescent="0.35">
      <c r="A2395">
        <v>2025</v>
      </c>
      <c r="B2395">
        <v>11</v>
      </c>
      <c r="C2395" t="s">
        <v>562</v>
      </c>
      <c r="D2395" t="s">
        <v>11</v>
      </c>
      <c r="E2395" t="s">
        <v>179</v>
      </c>
      <c r="F2395" t="s">
        <v>180</v>
      </c>
      <c r="G2395">
        <v>16483</v>
      </c>
    </row>
    <row r="2396" spans="1:7" x14ac:dyDescent="0.35">
      <c r="A2396">
        <v>2025</v>
      </c>
      <c r="B2396">
        <v>11</v>
      </c>
      <c r="C2396" t="s">
        <v>562</v>
      </c>
      <c r="D2396" t="s">
        <v>543</v>
      </c>
      <c r="E2396" t="s">
        <v>544</v>
      </c>
      <c r="F2396" t="s">
        <v>545</v>
      </c>
      <c r="G2396">
        <v>-4293980</v>
      </c>
    </row>
    <row r="2397" spans="1:7" x14ac:dyDescent="0.35">
      <c r="A2397">
        <v>2025</v>
      </c>
      <c r="B2397">
        <v>11</v>
      </c>
      <c r="C2397" t="s">
        <v>562</v>
      </c>
      <c r="D2397" t="s">
        <v>74</v>
      </c>
      <c r="E2397" t="s">
        <v>205</v>
      </c>
      <c r="F2397" t="s">
        <v>384</v>
      </c>
      <c r="G2397">
        <v>2826</v>
      </c>
    </row>
    <row r="2398" spans="1:7" x14ac:dyDescent="0.35">
      <c r="A2398">
        <v>2025</v>
      </c>
      <c r="B2398">
        <v>11</v>
      </c>
      <c r="C2398" t="s">
        <v>562</v>
      </c>
      <c r="D2398" t="s">
        <v>74</v>
      </c>
      <c r="E2398" t="s">
        <v>183</v>
      </c>
      <c r="F2398" t="s">
        <v>360</v>
      </c>
      <c r="G2398">
        <v>10578</v>
      </c>
    </row>
    <row r="2399" spans="1:7" x14ac:dyDescent="0.35">
      <c r="A2399">
        <v>2025</v>
      </c>
      <c r="B2399">
        <v>11</v>
      </c>
      <c r="C2399" t="s">
        <v>562</v>
      </c>
      <c r="D2399" t="s">
        <v>74</v>
      </c>
      <c r="E2399" t="s">
        <v>282</v>
      </c>
      <c r="F2399" t="s">
        <v>462</v>
      </c>
      <c r="G2399">
        <v>3784</v>
      </c>
    </row>
    <row r="2400" spans="1:7" x14ac:dyDescent="0.35">
      <c r="A2400">
        <v>2025</v>
      </c>
      <c r="B2400">
        <v>11</v>
      </c>
      <c r="C2400" t="s">
        <v>562</v>
      </c>
      <c r="D2400" t="s">
        <v>74</v>
      </c>
      <c r="E2400" t="s">
        <v>185</v>
      </c>
      <c r="F2400" t="s">
        <v>362</v>
      </c>
      <c r="G2400">
        <v>31388</v>
      </c>
    </row>
    <row r="2401" spans="1:7" x14ac:dyDescent="0.35">
      <c r="A2401">
        <v>2025</v>
      </c>
      <c r="B2401">
        <v>11</v>
      </c>
      <c r="C2401" t="s">
        <v>562</v>
      </c>
      <c r="D2401" t="s">
        <v>74</v>
      </c>
      <c r="E2401" t="s">
        <v>186</v>
      </c>
      <c r="F2401" t="s">
        <v>364</v>
      </c>
      <c r="G2401">
        <v>1471</v>
      </c>
    </row>
    <row r="2402" spans="1:7" x14ac:dyDescent="0.35">
      <c r="A2402">
        <v>2025</v>
      </c>
      <c r="B2402">
        <v>11</v>
      </c>
      <c r="C2402" t="s">
        <v>562</v>
      </c>
      <c r="D2402" t="s">
        <v>74</v>
      </c>
      <c r="E2402" t="s">
        <v>283</v>
      </c>
      <c r="F2402" t="s">
        <v>463</v>
      </c>
      <c r="G2402">
        <v>300</v>
      </c>
    </row>
    <row r="2403" spans="1:7" x14ac:dyDescent="0.35">
      <c r="A2403">
        <v>2025</v>
      </c>
      <c r="B2403">
        <v>11</v>
      </c>
      <c r="C2403" t="s">
        <v>562</v>
      </c>
      <c r="D2403" t="s">
        <v>85</v>
      </c>
      <c r="E2403" t="s">
        <v>188</v>
      </c>
      <c r="F2403" t="s">
        <v>366</v>
      </c>
      <c r="G2403">
        <v>851092.29</v>
      </c>
    </row>
    <row r="2404" spans="1:7" x14ac:dyDescent="0.35">
      <c r="A2404">
        <v>2025</v>
      </c>
      <c r="B2404">
        <v>11</v>
      </c>
      <c r="C2404" t="s">
        <v>562</v>
      </c>
      <c r="D2404" t="s">
        <v>106</v>
      </c>
      <c r="E2404" t="s">
        <v>189</v>
      </c>
      <c r="F2404" t="s">
        <v>367</v>
      </c>
      <c r="G2404">
        <v>3784570</v>
      </c>
    </row>
    <row r="2405" spans="1:7" x14ac:dyDescent="0.35">
      <c r="A2405">
        <v>2025</v>
      </c>
      <c r="B2405">
        <v>11</v>
      </c>
      <c r="C2405" t="s">
        <v>562</v>
      </c>
      <c r="D2405" t="s">
        <v>106</v>
      </c>
      <c r="E2405" t="s">
        <v>190</v>
      </c>
      <c r="F2405" t="s">
        <v>368</v>
      </c>
      <c r="G2405">
        <v>102101</v>
      </c>
    </row>
    <row r="2406" spans="1:7" x14ac:dyDescent="0.35">
      <c r="A2406">
        <v>2025</v>
      </c>
      <c r="B2406">
        <v>11</v>
      </c>
      <c r="C2406" t="s">
        <v>562</v>
      </c>
      <c r="D2406" t="s">
        <v>106</v>
      </c>
      <c r="E2406" t="s">
        <v>191</v>
      </c>
      <c r="F2406" t="s">
        <v>369</v>
      </c>
      <c r="G2406">
        <v>932065</v>
      </c>
    </row>
    <row r="2407" spans="1:7" x14ac:dyDescent="0.35">
      <c r="A2407">
        <v>2025</v>
      </c>
      <c r="B2407">
        <v>11</v>
      </c>
      <c r="C2407" t="s">
        <v>562</v>
      </c>
      <c r="D2407" t="s">
        <v>106</v>
      </c>
      <c r="E2407" t="s">
        <v>192</v>
      </c>
      <c r="F2407" t="s">
        <v>370</v>
      </c>
      <c r="G2407">
        <v>338246</v>
      </c>
    </row>
    <row r="2408" spans="1:7" x14ac:dyDescent="0.35">
      <c r="A2408">
        <v>2025</v>
      </c>
      <c r="B2408">
        <v>11</v>
      </c>
      <c r="C2408" t="s">
        <v>562</v>
      </c>
      <c r="D2408" t="s">
        <v>106</v>
      </c>
      <c r="E2408" t="s">
        <v>284</v>
      </c>
      <c r="F2408" t="s">
        <v>464</v>
      </c>
      <c r="G2408">
        <v>80480</v>
      </c>
    </row>
    <row r="2409" spans="1:7" x14ac:dyDescent="0.35">
      <c r="A2409">
        <v>2025</v>
      </c>
      <c r="B2409">
        <v>11</v>
      </c>
      <c r="C2409" t="s">
        <v>562</v>
      </c>
      <c r="D2409" t="s">
        <v>106</v>
      </c>
      <c r="E2409" t="s">
        <v>193</v>
      </c>
      <c r="F2409" t="s">
        <v>371</v>
      </c>
      <c r="G2409">
        <v>70703</v>
      </c>
    </row>
    <row r="2410" spans="1:7" x14ac:dyDescent="0.35">
      <c r="A2410">
        <v>2025</v>
      </c>
      <c r="B2410">
        <v>11</v>
      </c>
      <c r="C2410" t="s">
        <v>562</v>
      </c>
      <c r="D2410" t="s">
        <v>106</v>
      </c>
      <c r="E2410" t="s">
        <v>195</v>
      </c>
      <c r="F2410" t="s">
        <v>373</v>
      </c>
      <c r="G2410">
        <v>112033</v>
      </c>
    </row>
    <row r="2411" spans="1:7" x14ac:dyDescent="0.35">
      <c r="A2411">
        <v>2025</v>
      </c>
      <c r="B2411">
        <v>11</v>
      </c>
      <c r="C2411" t="s">
        <v>562</v>
      </c>
      <c r="D2411" t="s">
        <v>75</v>
      </c>
      <c r="E2411" t="s">
        <v>204</v>
      </c>
      <c r="F2411" t="s">
        <v>383</v>
      </c>
      <c r="G2411">
        <v>13500</v>
      </c>
    </row>
    <row r="2412" spans="1:7" x14ac:dyDescent="0.35">
      <c r="A2412">
        <v>2025</v>
      </c>
      <c r="B2412">
        <v>11</v>
      </c>
      <c r="C2412" t="s">
        <v>562</v>
      </c>
      <c r="D2412" t="s">
        <v>23</v>
      </c>
      <c r="E2412" t="s">
        <v>206</v>
      </c>
      <c r="F2412" t="s">
        <v>385</v>
      </c>
      <c r="G2412">
        <v>50976</v>
      </c>
    </row>
    <row r="2413" spans="1:7" x14ac:dyDescent="0.35">
      <c r="A2413">
        <v>2025</v>
      </c>
      <c r="B2413">
        <v>11</v>
      </c>
      <c r="C2413" t="s">
        <v>562</v>
      </c>
      <c r="D2413" t="s">
        <v>24</v>
      </c>
      <c r="E2413" t="s">
        <v>207</v>
      </c>
      <c r="F2413" t="s">
        <v>386</v>
      </c>
      <c r="G2413">
        <v>20926</v>
      </c>
    </row>
    <row r="2414" spans="1:7" x14ac:dyDescent="0.35">
      <c r="A2414">
        <v>2025</v>
      </c>
      <c r="B2414">
        <v>11</v>
      </c>
      <c r="C2414" t="s">
        <v>562</v>
      </c>
      <c r="D2414" t="s">
        <v>114</v>
      </c>
      <c r="E2414" t="s">
        <v>295</v>
      </c>
      <c r="F2414" t="s">
        <v>479</v>
      </c>
      <c r="G2414">
        <v>274</v>
      </c>
    </row>
    <row r="2415" spans="1:7" x14ac:dyDescent="0.35">
      <c r="A2415">
        <v>2025</v>
      </c>
      <c r="B2415">
        <v>11</v>
      </c>
      <c r="C2415" t="s">
        <v>562</v>
      </c>
      <c r="D2415" t="s">
        <v>519</v>
      </c>
      <c r="E2415" t="s">
        <v>203</v>
      </c>
      <c r="F2415" t="s">
        <v>381</v>
      </c>
      <c r="G2415">
        <v>620.05999999999995</v>
      </c>
    </row>
    <row r="2416" spans="1:7" x14ac:dyDescent="0.35">
      <c r="A2416">
        <v>2025</v>
      </c>
      <c r="B2416">
        <v>11</v>
      </c>
      <c r="C2416" t="s">
        <v>562</v>
      </c>
      <c r="D2416" t="s">
        <v>519</v>
      </c>
      <c r="E2416" t="s">
        <v>196</v>
      </c>
      <c r="F2416" t="s">
        <v>382</v>
      </c>
      <c r="G2416">
        <v>8.74</v>
      </c>
    </row>
    <row r="2417" spans="1:7" x14ac:dyDescent="0.35">
      <c r="A2417">
        <v>2025</v>
      </c>
      <c r="B2417">
        <v>11</v>
      </c>
      <c r="C2417" t="s">
        <v>562</v>
      </c>
      <c r="D2417" t="s">
        <v>520</v>
      </c>
      <c r="E2417" t="s">
        <v>241</v>
      </c>
      <c r="F2417" t="s">
        <v>420</v>
      </c>
      <c r="G2417">
        <v>744</v>
      </c>
    </row>
    <row r="2418" spans="1:7" x14ac:dyDescent="0.35">
      <c r="A2418">
        <v>2025</v>
      </c>
      <c r="B2418">
        <v>11</v>
      </c>
      <c r="C2418" t="s">
        <v>562</v>
      </c>
      <c r="D2418" t="s">
        <v>520</v>
      </c>
      <c r="E2418" t="s">
        <v>208</v>
      </c>
      <c r="F2418" t="s">
        <v>387</v>
      </c>
      <c r="G2418">
        <v>163</v>
      </c>
    </row>
    <row r="2419" spans="1:7" x14ac:dyDescent="0.35">
      <c r="A2419">
        <v>2025</v>
      </c>
      <c r="B2419">
        <v>11</v>
      </c>
      <c r="C2419" t="s">
        <v>562</v>
      </c>
      <c r="D2419" t="s">
        <v>520</v>
      </c>
      <c r="E2419" t="s">
        <v>134</v>
      </c>
      <c r="F2419" t="s">
        <v>315</v>
      </c>
      <c r="G2419">
        <v>9549</v>
      </c>
    </row>
    <row r="2420" spans="1:7" x14ac:dyDescent="0.35">
      <c r="A2420">
        <v>2025</v>
      </c>
      <c r="B2420">
        <v>11</v>
      </c>
      <c r="C2420" t="s">
        <v>562</v>
      </c>
      <c r="D2420" t="s">
        <v>520</v>
      </c>
      <c r="E2420" t="s">
        <v>196</v>
      </c>
      <c r="F2420" t="s">
        <v>374</v>
      </c>
      <c r="G2420">
        <v>9</v>
      </c>
    </row>
    <row r="2421" spans="1:7" x14ac:dyDescent="0.35">
      <c r="A2421">
        <v>2025</v>
      </c>
      <c r="B2421">
        <v>11</v>
      </c>
      <c r="C2421" t="s">
        <v>562</v>
      </c>
      <c r="D2421" t="s">
        <v>520</v>
      </c>
      <c r="E2421" t="s">
        <v>197</v>
      </c>
      <c r="F2421" t="s">
        <v>375</v>
      </c>
      <c r="G2421">
        <v>77081</v>
      </c>
    </row>
    <row r="2422" spans="1:7" x14ac:dyDescent="0.35">
      <c r="A2422">
        <v>2025</v>
      </c>
      <c r="B2422">
        <v>11</v>
      </c>
      <c r="C2422" t="s">
        <v>562</v>
      </c>
      <c r="D2422" t="s">
        <v>520</v>
      </c>
      <c r="E2422" t="s">
        <v>198</v>
      </c>
      <c r="F2422" t="s">
        <v>376</v>
      </c>
      <c r="G2422">
        <v>1604</v>
      </c>
    </row>
    <row r="2423" spans="1:7" x14ac:dyDescent="0.35">
      <c r="A2423">
        <v>2025</v>
      </c>
      <c r="B2423">
        <v>11</v>
      </c>
      <c r="C2423" t="s">
        <v>562</v>
      </c>
      <c r="D2423" t="s">
        <v>520</v>
      </c>
      <c r="E2423" t="s">
        <v>566</v>
      </c>
      <c r="F2423" t="s">
        <v>567</v>
      </c>
      <c r="G2423">
        <v>24300</v>
      </c>
    </row>
    <row r="2424" spans="1:7" x14ac:dyDescent="0.35">
      <c r="A2424">
        <v>2025</v>
      </c>
      <c r="B2424">
        <v>11</v>
      </c>
      <c r="C2424" t="s">
        <v>562</v>
      </c>
      <c r="D2424" t="s">
        <v>520</v>
      </c>
      <c r="E2424" t="s">
        <v>568</v>
      </c>
      <c r="F2424" t="s">
        <v>569</v>
      </c>
      <c r="G2424">
        <v>20876</v>
      </c>
    </row>
    <row r="2425" spans="1:7" x14ac:dyDescent="0.35">
      <c r="A2425">
        <v>2025</v>
      </c>
      <c r="B2425">
        <v>11</v>
      </c>
      <c r="C2425" t="s">
        <v>562</v>
      </c>
      <c r="D2425" t="s">
        <v>520</v>
      </c>
      <c r="E2425" t="s">
        <v>200</v>
      </c>
      <c r="F2425" t="s">
        <v>378</v>
      </c>
      <c r="G2425">
        <v>2951</v>
      </c>
    </row>
    <row r="2426" spans="1:7" x14ac:dyDescent="0.35">
      <c r="A2426">
        <v>2025</v>
      </c>
      <c r="B2426">
        <v>11</v>
      </c>
      <c r="C2426" t="s">
        <v>562</v>
      </c>
      <c r="D2426" t="s">
        <v>520</v>
      </c>
      <c r="E2426" t="s">
        <v>201</v>
      </c>
      <c r="F2426" t="s">
        <v>379</v>
      </c>
      <c r="G2426">
        <v>4251</v>
      </c>
    </row>
    <row r="2427" spans="1:7" x14ac:dyDescent="0.35">
      <c r="A2427">
        <v>2025</v>
      </c>
      <c r="B2427">
        <v>11</v>
      </c>
      <c r="C2427" t="s">
        <v>562</v>
      </c>
      <c r="D2427" t="s">
        <v>33</v>
      </c>
      <c r="E2427" t="s">
        <v>209</v>
      </c>
      <c r="F2427" t="s">
        <v>388</v>
      </c>
      <c r="G2427">
        <v>9691</v>
      </c>
    </row>
    <row r="2428" spans="1:7" x14ac:dyDescent="0.35">
      <c r="A2428">
        <v>2025</v>
      </c>
      <c r="B2428">
        <v>11</v>
      </c>
      <c r="C2428" t="s">
        <v>562</v>
      </c>
      <c r="D2428" t="s">
        <v>12</v>
      </c>
      <c r="E2428" t="s">
        <v>210</v>
      </c>
      <c r="F2428" t="s">
        <v>389</v>
      </c>
      <c r="G2428">
        <v>5262</v>
      </c>
    </row>
    <row r="2429" spans="1:7" x14ac:dyDescent="0.35">
      <c r="A2429">
        <v>2025</v>
      </c>
      <c r="B2429">
        <v>11</v>
      </c>
      <c r="C2429" t="s">
        <v>562</v>
      </c>
      <c r="D2429" t="s">
        <v>12</v>
      </c>
      <c r="E2429" t="s">
        <v>211</v>
      </c>
      <c r="F2429" t="s">
        <v>390</v>
      </c>
      <c r="G2429">
        <v>2069</v>
      </c>
    </row>
    <row r="2430" spans="1:7" x14ac:dyDescent="0.35">
      <c r="A2430">
        <v>2025</v>
      </c>
      <c r="B2430">
        <v>11</v>
      </c>
      <c r="C2430" t="s">
        <v>562</v>
      </c>
      <c r="D2430" t="s">
        <v>12</v>
      </c>
      <c r="E2430" t="s">
        <v>212</v>
      </c>
      <c r="F2430" t="s">
        <v>391</v>
      </c>
      <c r="G2430">
        <v>8577</v>
      </c>
    </row>
    <row r="2431" spans="1:7" x14ac:dyDescent="0.35">
      <c r="A2431">
        <v>2025</v>
      </c>
      <c r="B2431">
        <v>11</v>
      </c>
      <c r="C2431" t="s">
        <v>562</v>
      </c>
      <c r="D2431" t="s">
        <v>12</v>
      </c>
      <c r="E2431" t="s">
        <v>273</v>
      </c>
      <c r="F2431" t="s">
        <v>453</v>
      </c>
      <c r="G2431">
        <v>4134</v>
      </c>
    </row>
    <row r="2432" spans="1:7" x14ac:dyDescent="0.35">
      <c r="A2432">
        <v>2025</v>
      </c>
      <c r="B2432">
        <v>11</v>
      </c>
      <c r="C2432" t="s">
        <v>562</v>
      </c>
      <c r="D2432" t="s">
        <v>12</v>
      </c>
      <c r="E2432" t="s">
        <v>213</v>
      </c>
      <c r="F2432" t="s">
        <v>392</v>
      </c>
      <c r="G2432">
        <v>9706</v>
      </c>
    </row>
    <row r="2433" spans="1:7" x14ac:dyDescent="0.35">
      <c r="A2433">
        <v>2025</v>
      </c>
      <c r="B2433">
        <v>11</v>
      </c>
      <c r="C2433" t="s">
        <v>562</v>
      </c>
      <c r="D2433" t="s">
        <v>12</v>
      </c>
      <c r="E2433" t="s">
        <v>214</v>
      </c>
      <c r="F2433" t="s">
        <v>394</v>
      </c>
      <c r="G2433">
        <v>2236</v>
      </c>
    </row>
    <row r="2434" spans="1:7" x14ac:dyDescent="0.35">
      <c r="A2434">
        <v>2025</v>
      </c>
      <c r="B2434">
        <v>11</v>
      </c>
      <c r="C2434" t="s">
        <v>562</v>
      </c>
      <c r="D2434" t="s">
        <v>12</v>
      </c>
      <c r="E2434" t="s">
        <v>217</v>
      </c>
      <c r="F2434" t="s">
        <v>397</v>
      </c>
      <c r="G2434">
        <v>1069</v>
      </c>
    </row>
    <row r="2435" spans="1:7" x14ac:dyDescent="0.35">
      <c r="A2435">
        <v>2025</v>
      </c>
      <c r="B2435">
        <v>11</v>
      </c>
      <c r="C2435" t="s">
        <v>562</v>
      </c>
      <c r="D2435" t="s">
        <v>12</v>
      </c>
      <c r="E2435" t="s">
        <v>218</v>
      </c>
      <c r="F2435" t="s">
        <v>398</v>
      </c>
      <c r="G2435">
        <v>5237</v>
      </c>
    </row>
    <row r="2436" spans="1:7" x14ac:dyDescent="0.35">
      <c r="A2436">
        <v>2025</v>
      </c>
      <c r="B2436">
        <v>11</v>
      </c>
      <c r="C2436" t="s">
        <v>562</v>
      </c>
      <c r="D2436" t="s">
        <v>12</v>
      </c>
      <c r="E2436" t="s">
        <v>219</v>
      </c>
      <c r="F2436" t="s">
        <v>399</v>
      </c>
      <c r="G2436">
        <v>6639</v>
      </c>
    </row>
    <row r="2437" spans="1:7" x14ac:dyDescent="0.35">
      <c r="A2437">
        <v>2025</v>
      </c>
      <c r="B2437">
        <v>11</v>
      </c>
      <c r="C2437" t="s">
        <v>562</v>
      </c>
      <c r="D2437" t="s">
        <v>12</v>
      </c>
      <c r="E2437" t="s">
        <v>220</v>
      </c>
      <c r="F2437" t="s">
        <v>400</v>
      </c>
      <c r="G2437">
        <v>2299</v>
      </c>
    </row>
    <row r="2438" spans="1:7" x14ac:dyDescent="0.35">
      <c r="A2438">
        <v>2025</v>
      </c>
      <c r="B2438">
        <v>11</v>
      </c>
      <c r="C2438" t="s">
        <v>562</v>
      </c>
      <c r="D2438" t="s">
        <v>12</v>
      </c>
      <c r="E2438" t="s">
        <v>221</v>
      </c>
      <c r="F2438" t="s">
        <v>401</v>
      </c>
      <c r="G2438">
        <v>3811</v>
      </c>
    </row>
    <row r="2439" spans="1:7" x14ac:dyDescent="0.35">
      <c r="A2439">
        <v>2025</v>
      </c>
      <c r="B2439">
        <v>11</v>
      </c>
      <c r="C2439" t="s">
        <v>562</v>
      </c>
      <c r="D2439" t="s">
        <v>12</v>
      </c>
      <c r="E2439" t="s">
        <v>222</v>
      </c>
      <c r="F2439" t="s">
        <v>402</v>
      </c>
      <c r="G2439">
        <v>5087</v>
      </c>
    </row>
    <row r="2440" spans="1:7" x14ac:dyDescent="0.35">
      <c r="A2440">
        <v>2025</v>
      </c>
      <c r="B2440">
        <v>11</v>
      </c>
      <c r="C2440" t="s">
        <v>562</v>
      </c>
      <c r="D2440" t="s">
        <v>28</v>
      </c>
      <c r="E2440" t="s">
        <v>223</v>
      </c>
      <c r="F2440" t="s">
        <v>403</v>
      </c>
      <c r="G2440">
        <v>143071</v>
      </c>
    </row>
    <row r="2441" spans="1:7" x14ac:dyDescent="0.35">
      <c r="A2441">
        <v>2025</v>
      </c>
      <c r="B2441">
        <v>11</v>
      </c>
      <c r="C2441" t="s">
        <v>562</v>
      </c>
      <c r="D2441" t="s">
        <v>92</v>
      </c>
      <c r="E2441" t="s">
        <v>494</v>
      </c>
      <c r="F2441" t="s">
        <v>495</v>
      </c>
      <c r="G2441">
        <v>4002</v>
      </c>
    </row>
    <row r="2442" spans="1:7" x14ac:dyDescent="0.35">
      <c r="A2442">
        <v>2025</v>
      </c>
      <c r="B2442">
        <v>11</v>
      </c>
      <c r="C2442" t="s">
        <v>562</v>
      </c>
      <c r="D2442" t="s">
        <v>64</v>
      </c>
      <c r="E2442" t="s">
        <v>225</v>
      </c>
      <c r="F2442" t="s">
        <v>405</v>
      </c>
      <c r="G2442">
        <v>147760</v>
      </c>
    </row>
    <row r="2443" spans="1:7" x14ac:dyDescent="0.35">
      <c r="A2443">
        <v>2025</v>
      </c>
      <c r="B2443">
        <v>11</v>
      </c>
      <c r="C2443" t="s">
        <v>562</v>
      </c>
      <c r="D2443" t="s">
        <v>29</v>
      </c>
      <c r="E2443" t="s">
        <v>226</v>
      </c>
      <c r="F2443" t="s">
        <v>406</v>
      </c>
      <c r="G2443">
        <v>5142</v>
      </c>
    </row>
    <row r="2444" spans="1:7" x14ac:dyDescent="0.35">
      <c r="A2444">
        <v>2025</v>
      </c>
      <c r="B2444">
        <v>11</v>
      </c>
      <c r="C2444" t="s">
        <v>562</v>
      </c>
      <c r="D2444" t="s">
        <v>102</v>
      </c>
      <c r="E2444" t="s">
        <v>227</v>
      </c>
      <c r="F2444" t="s">
        <v>407</v>
      </c>
      <c r="G2444">
        <v>-5230</v>
      </c>
    </row>
    <row r="2445" spans="1:7" x14ac:dyDescent="0.35">
      <c r="A2445">
        <v>2025</v>
      </c>
      <c r="B2445">
        <v>11</v>
      </c>
      <c r="C2445" t="s">
        <v>562</v>
      </c>
      <c r="D2445" t="s">
        <v>25</v>
      </c>
      <c r="E2445" t="s">
        <v>228</v>
      </c>
      <c r="F2445" t="s">
        <v>408</v>
      </c>
      <c r="G2445">
        <v>246018</v>
      </c>
    </row>
    <row r="2446" spans="1:7" x14ac:dyDescent="0.35">
      <c r="A2446">
        <v>2025</v>
      </c>
      <c r="B2446">
        <v>11</v>
      </c>
      <c r="C2446" t="s">
        <v>562</v>
      </c>
      <c r="D2446" t="s">
        <v>25</v>
      </c>
      <c r="E2446" t="s">
        <v>274</v>
      </c>
      <c r="F2446" t="s">
        <v>454</v>
      </c>
      <c r="G2446">
        <v>59056</v>
      </c>
    </row>
    <row r="2447" spans="1:7" x14ac:dyDescent="0.35">
      <c r="A2447">
        <v>2025</v>
      </c>
      <c r="B2447">
        <v>11</v>
      </c>
      <c r="C2447" t="s">
        <v>562</v>
      </c>
      <c r="D2447" t="s">
        <v>229</v>
      </c>
      <c r="E2447" t="s">
        <v>230</v>
      </c>
      <c r="F2447" t="s">
        <v>409</v>
      </c>
      <c r="G2447">
        <v>541553</v>
      </c>
    </row>
    <row r="2448" spans="1:7" x14ac:dyDescent="0.35">
      <c r="A2448">
        <v>2025</v>
      </c>
      <c r="B2448">
        <v>11</v>
      </c>
      <c r="C2448" t="s">
        <v>562</v>
      </c>
      <c r="D2448" t="s">
        <v>13</v>
      </c>
      <c r="E2448" t="s">
        <v>232</v>
      </c>
      <c r="F2448" t="s">
        <v>411</v>
      </c>
      <c r="G2448">
        <v>516</v>
      </c>
    </row>
    <row r="2449" spans="1:7" x14ac:dyDescent="0.35">
      <c r="A2449">
        <v>2025</v>
      </c>
      <c r="B2449">
        <v>11</v>
      </c>
      <c r="C2449" t="s">
        <v>562</v>
      </c>
      <c r="D2449" t="s">
        <v>94</v>
      </c>
      <c r="E2449" t="s">
        <v>233</v>
      </c>
      <c r="F2449" t="s">
        <v>412</v>
      </c>
      <c r="G2449">
        <v>28000</v>
      </c>
    </row>
    <row r="2450" spans="1:7" x14ac:dyDescent="0.35">
      <c r="A2450">
        <v>2025</v>
      </c>
      <c r="B2450">
        <v>11</v>
      </c>
      <c r="C2450" t="s">
        <v>562</v>
      </c>
      <c r="D2450" t="s">
        <v>36</v>
      </c>
      <c r="E2450" t="s">
        <v>275</v>
      </c>
      <c r="F2450" t="s">
        <v>455</v>
      </c>
      <c r="G2450">
        <v>8300</v>
      </c>
    </row>
    <row r="2451" spans="1:7" x14ac:dyDescent="0.35">
      <c r="A2451">
        <v>2025</v>
      </c>
      <c r="B2451">
        <v>11</v>
      </c>
      <c r="C2451" t="s">
        <v>562</v>
      </c>
      <c r="D2451" t="s">
        <v>43</v>
      </c>
      <c r="E2451" t="s">
        <v>234</v>
      </c>
      <c r="F2451" t="s">
        <v>413</v>
      </c>
      <c r="G2451">
        <v>94250</v>
      </c>
    </row>
    <row r="2452" spans="1:7" x14ac:dyDescent="0.35">
      <c r="A2452">
        <v>2025</v>
      </c>
      <c r="B2452">
        <v>11</v>
      </c>
      <c r="C2452" t="s">
        <v>562</v>
      </c>
      <c r="D2452" t="s">
        <v>40</v>
      </c>
      <c r="E2452" t="s">
        <v>235</v>
      </c>
      <c r="F2452" t="s">
        <v>414</v>
      </c>
      <c r="G2452">
        <v>34455</v>
      </c>
    </row>
    <row r="2453" spans="1:7" x14ac:dyDescent="0.35">
      <c r="A2453">
        <v>2025</v>
      </c>
      <c r="B2453">
        <v>11</v>
      </c>
      <c r="C2453" t="s">
        <v>562</v>
      </c>
      <c r="D2453" t="s">
        <v>45</v>
      </c>
      <c r="E2453" t="s">
        <v>276</v>
      </c>
      <c r="F2453" t="s">
        <v>456</v>
      </c>
      <c r="G2453">
        <v>104350</v>
      </c>
    </row>
    <row r="2454" spans="1:7" x14ac:dyDescent="0.35">
      <c r="A2454">
        <v>2025</v>
      </c>
      <c r="B2454">
        <v>11</v>
      </c>
      <c r="C2454" t="s">
        <v>562</v>
      </c>
      <c r="D2454" t="s">
        <v>76</v>
      </c>
      <c r="E2454" t="s">
        <v>236</v>
      </c>
      <c r="F2454" t="s">
        <v>415</v>
      </c>
      <c r="G2454">
        <v>-3027758</v>
      </c>
    </row>
    <row r="2455" spans="1:7" x14ac:dyDescent="0.35">
      <c r="A2455">
        <v>2025</v>
      </c>
      <c r="B2455">
        <v>11</v>
      </c>
      <c r="C2455" t="s">
        <v>562</v>
      </c>
      <c r="D2455" t="s">
        <v>76</v>
      </c>
      <c r="E2455" t="s">
        <v>237</v>
      </c>
      <c r="F2455" t="s">
        <v>416</v>
      </c>
      <c r="G2455">
        <v>-5229.83</v>
      </c>
    </row>
    <row r="2456" spans="1:7" x14ac:dyDescent="0.35">
      <c r="A2456">
        <v>2025</v>
      </c>
      <c r="B2456">
        <v>11</v>
      </c>
      <c r="C2456" t="s">
        <v>562</v>
      </c>
      <c r="D2456" t="s">
        <v>76</v>
      </c>
      <c r="E2456" t="s">
        <v>238</v>
      </c>
      <c r="F2456" t="s">
        <v>417</v>
      </c>
      <c r="G2456">
        <v>-55116.41</v>
      </c>
    </row>
    <row r="2457" spans="1:7" x14ac:dyDescent="0.35">
      <c r="A2457">
        <v>2025</v>
      </c>
      <c r="B2457">
        <v>11</v>
      </c>
      <c r="C2457" t="s">
        <v>562</v>
      </c>
      <c r="D2457" t="s">
        <v>76</v>
      </c>
      <c r="E2457" t="s">
        <v>239</v>
      </c>
      <c r="F2457" t="s">
        <v>418</v>
      </c>
      <c r="G2457">
        <v>670048.36</v>
      </c>
    </row>
    <row r="2458" spans="1:7" x14ac:dyDescent="0.35">
      <c r="A2458">
        <v>2025</v>
      </c>
      <c r="B2458">
        <v>11</v>
      </c>
      <c r="C2458" t="s">
        <v>562</v>
      </c>
      <c r="D2458" t="s">
        <v>35</v>
      </c>
      <c r="E2458" t="s">
        <v>240</v>
      </c>
      <c r="F2458" t="s">
        <v>419</v>
      </c>
      <c r="G2458">
        <v>260710</v>
      </c>
    </row>
    <row r="2459" spans="1:7" x14ac:dyDescent="0.35">
      <c r="A2459">
        <v>2025</v>
      </c>
      <c r="B2459">
        <v>11</v>
      </c>
      <c r="C2459" t="s">
        <v>562</v>
      </c>
      <c r="D2459" t="s">
        <v>103</v>
      </c>
      <c r="E2459" t="s">
        <v>242</v>
      </c>
      <c r="F2459" t="s">
        <v>421</v>
      </c>
      <c r="G2459">
        <v>-55116</v>
      </c>
    </row>
    <row r="2460" spans="1:7" x14ac:dyDescent="0.35">
      <c r="A2460">
        <v>2025</v>
      </c>
      <c r="B2460">
        <v>11</v>
      </c>
      <c r="C2460" t="s">
        <v>562</v>
      </c>
      <c r="D2460" t="s">
        <v>104</v>
      </c>
      <c r="E2460" t="s">
        <v>243</v>
      </c>
      <c r="F2460" t="s">
        <v>422</v>
      </c>
      <c r="G2460">
        <v>670048</v>
      </c>
    </row>
    <row r="2461" spans="1:7" x14ac:dyDescent="0.35">
      <c r="A2461">
        <v>2025</v>
      </c>
      <c r="B2461">
        <v>11</v>
      </c>
      <c r="C2461" t="s">
        <v>562</v>
      </c>
      <c r="D2461" t="s">
        <v>244</v>
      </c>
      <c r="E2461" t="s">
        <v>245</v>
      </c>
      <c r="F2461" t="s">
        <v>423</v>
      </c>
      <c r="G2461">
        <v>-1922649</v>
      </c>
    </row>
    <row r="2462" spans="1:7" x14ac:dyDescent="0.35">
      <c r="A2462">
        <v>2025</v>
      </c>
      <c r="B2462">
        <v>11</v>
      </c>
      <c r="C2462" t="s">
        <v>562</v>
      </c>
      <c r="D2462" t="s">
        <v>14</v>
      </c>
      <c r="E2462" t="s">
        <v>131</v>
      </c>
      <c r="F2462" t="s">
        <v>425</v>
      </c>
      <c r="G2462">
        <v>465901</v>
      </c>
    </row>
    <row r="2463" spans="1:7" x14ac:dyDescent="0.35">
      <c r="A2463">
        <v>2025</v>
      </c>
      <c r="B2463">
        <v>11</v>
      </c>
      <c r="C2463" t="s">
        <v>562</v>
      </c>
      <c r="D2463" t="s">
        <v>30</v>
      </c>
      <c r="E2463" t="s">
        <v>247</v>
      </c>
      <c r="F2463" t="s">
        <v>426</v>
      </c>
      <c r="G2463">
        <v>13579</v>
      </c>
    </row>
    <row r="2464" spans="1:7" x14ac:dyDescent="0.35">
      <c r="A2464">
        <v>2025</v>
      </c>
      <c r="B2464">
        <v>11</v>
      </c>
      <c r="C2464" t="s">
        <v>562</v>
      </c>
      <c r="D2464" t="s">
        <v>15</v>
      </c>
      <c r="E2464" t="s">
        <v>248</v>
      </c>
      <c r="F2464" t="s">
        <v>427</v>
      </c>
      <c r="G2464">
        <v>30481</v>
      </c>
    </row>
    <row r="2465" spans="1:7" x14ac:dyDescent="0.35">
      <c r="A2465">
        <v>2025</v>
      </c>
      <c r="B2465">
        <v>11</v>
      </c>
      <c r="C2465" t="s">
        <v>562</v>
      </c>
      <c r="D2465" t="s">
        <v>52</v>
      </c>
      <c r="E2465" t="s">
        <v>303</v>
      </c>
      <c r="F2465" t="s">
        <v>483</v>
      </c>
      <c r="G2465">
        <v>2371</v>
      </c>
    </row>
    <row r="2466" spans="1:7" x14ac:dyDescent="0.35">
      <c r="A2466">
        <v>2025</v>
      </c>
      <c r="B2466">
        <v>11</v>
      </c>
      <c r="C2466" t="s">
        <v>562</v>
      </c>
      <c r="D2466" t="s">
        <v>90</v>
      </c>
      <c r="E2466" t="s">
        <v>277</v>
      </c>
      <c r="F2466" t="s">
        <v>457</v>
      </c>
      <c r="G2466">
        <v>557740</v>
      </c>
    </row>
    <row r="2467" spans="1:7" x14ac:dyDescent="0.35">
      <c r="A2467">
        <v>2025</v>
      </c>
      <c r="B2467">
        <v>11</v>
      </c>
      <c r="C2467" t="s">
        <v>562</v>
      </c>
      <c r="D2467" t="s">
        <v>90</v>
      </c>
      <c r="E2467" t="s">
        <v>249</v>
      </c>
      <c r="F2467" t="s">
        <v>428</v>
      </c>
      <c r="G2467">
        <v>10774</v>
      </c>
    </row>
    <row r="2468" spans="1:7" x14ac:dyDescent="0.35">
      <c r="A2468">
        <v>2025</v>
      </c>
      <c r="B2468">
        <v>11</v>
      </c>
      <c r="C2468" t="s">
        <v>562</v>
      </c>
      <c r="D2468" t="s">
        <v>84</v>
      </c>
      <c r="E2468" t="s">
        <v>250</v>
      </c>
      <c r="F2468" t="s">
        <v>429</v>
      </c>
      <c r="G2468">
        <v>563406.79</v>
      </c>
    </row>
    <row r="2469" spans="1:7" x14ac:dyDescent="0.35">
      <c r="A2469">
        <v>2025</v>
      </c>
      <c r="B2469">
        <v>11</v>
      </c>
      <c r="C2469" t="s">
        <v>562</v>
      </c>
      <c r="D2469" t="s">
        <v>81</v>
      </c>
      <c r="E2469" t="s">
        <v>251</v>
      </c>
      <c r="F2469" t="s">
        <v>430</v>
      </c>
      <c r="G2469">
        <v>1730251.18</v>
      </c>
    </row>
    <row r="2470" spans="1:7" x14ac:dyDescent="0.35">
      <c r="A2470">
        <v>2025</v>
      </c>
      <c r="B2470">
        <v>11</v>
      </c>
      <c r="C2470" t="s">
        <v>562</v>
      </c>
      <c r="D2470" t="s">
        <v>81</v>
      </c>
      <c r="E2470" t="s">
        <v>252</v>
      </c>
      <c r="F2470" t="s">
        <v>431</v>
      </c>
      <c r="G2470">
        <v>15979898.84</v>
      </c>
    </row>
    <row r="2471" spans="1:7" x14ac:dyDescent="0.35">
      <c r="A2471">
        <v>2025</v>
      </c>
      <c r="B2471">
        <v>11</v>
      </c>
      <c r="C2471" t="s">
        <v>562</v>
      </c>
      <c r="D2471" t="s">
        <v>44</v>
      </c>
      <c r="E2471" t="s">
        <v>253</v>
      </c>
      <c r="F2471" t="s">
        <v>432</v>
      </c>
      <c r="G2471">
        <v>80700</v>
      </c>
    </row>
    <row r="2472" spans="1:7" x14ac:dyDescent="0.35">
      <c r="A2472">
        <v>2025</v>
      </c>
      <c r="B2472">
        <v>11</v>
      </c>
      <c r="C2472" t="s">
        <v>562</v>
      </c>
      <c r="D2472" t="s">
        <v>16</v>
      </c>
      <c r="E2472" t="s">
        <v>254</v>
      </c>
      <c r="F2472" t="s">
        <v>433</v>
      </c>
      <c r="G2472">
        <v>13900</v>
      </c>
    </row>
    <row r="2473" spans="1:7" x14ac:dyDescent="0.35">
      <c r="A2473">
        <v>2025</v>
      </c>
      <c r="B2473">
        <v>11</v>
      </c>
      <c r="C2473" t="s">
        <v>562</v>
      </c>
      <c r="D2473" t="s">
        <v>37</v>
      </c>
      <c r="E2473" t="s">
        <v>256</v>
      </c>
      <c r="F2473" t="s">
        <v>435</v>
      </c>
      <c r="G2473">
        <v>-85478</v>
      </c>
    </row>
    <row r="2474" spans="1:7" x14ac:dyDescent="0.35">
      <c r="A2474">
        <v>2025</v>
      </c>
      <c r="B2474">
        <v>11</v>
      </c>
      <c r="C2474" t="s">
        <v>562</v>
      </c>
      <c r="D2474" t="s">
        <v>37</v>
      </c>
      <c r="E2474" t="s">
        <v>257</v>
      </c>
      <c r="F2474" t="s">
        <v>436</v>
      </c>
      <c r="G2474">
        <v>-6381392.4299999997</v>
      </c>
    </row>
    <row r="2475" spans="1:7" x14ac:dyDescent="0.35">
      <c r="A2475">
        <v>2025</v>
      </c>
      <c r="B2475">
        <v>11</v>
      </c>
      <c r="C2475" t="s">
        <v>562</v>
      </c>
      <c r="D2475" t="s">
        <v>18</v>
      </c>
      <c r="E2475" t="s">
        <v>259</v>
      </c>
      <c r="F2475" t="s">
        <v>438</v>
      </c>
      <c r="G2475">
        <v>2226</v>
      </c>
    </row>
    <row r="2476" spans="1:7" x14ac:dyDescent="0.35">
      <c r="A2476">
        <v>2025</v>
      </c>
      <c r="B2476">
        <v>11</v>
      </c>
      <c r="C2476" t="s">
        <v>562</v>
      </c>
      <c r="D2476" t="s">
        <v>279</v>
      </c>
      <c r="E2476" t="s">
        <v>280</v>
      </c>
      <c r="F2476" t="s">
        <v>459</v>
      </c>
      <c r="G2476">
        <v>204492</v>
      </c>
    </row>
    <row r="2477" spans="1:7" x14ac:dyDescent="0.35">
      <c r="A2477">
        <v>2025</v>
      </c>
      <c r="B2477">
        <v>12</v>
      </c>
      <c r="C2477" t="s">
        <v>570</v>
      </c>
      <c r="E2477" t="s">
        <v>291</v>
      </c>
      <c r="F2477" t="s">
        <v>474</v>
      </c>
      <c r="G2477">
        <v>1682</v>
      </c>
    </row>
    <row r="2478" spans="1:7" x14ac:dyDescent="0.35">
      <c r="A2478">
        <v>2025</v>
      </c>
      <c r="B2478">
        <v>12</v>
      </c>
      <c r="C2478" t="s">
        <v>570</v>
      </c>
      <c r="E2478" t="s">
        <v>528</v>
      </c>
      <c r="F2478" t="s">
        <v>529</v>
      </c>
      <c r="G2478">
        <v>12741</v>
      </c>
    </row>
    <row r="2479" spans="1:7" x14ac:dyDescent="0.35">
      <c r="A2479">
        <v>2025</v>
      </c>
      <c r="B2479">
        <v>12</v>
      </c>
      <c r="C2479" t="s">
        <v>570</v>
      </c>
      <c r="E2479" t="s">
        <v>571</v>
      </c>
      <c r="F2479" t="s">
        <v>572</v>
      </c>
      <c r="G2479">
        <v>2391</v>
      </c>
    </row>
    <row r="2480" spans="1:7" x14ac:dyDescent="0.35">
      <c r="A2480">
        <v>2025</v>
      </c>
      <c r="B2480">
        <v>12</v>
      </c>
      <c r="C2480" t="s">
        <v>570</v>
      </c>
      <c r="E2480" t="s">
        <v>293</v>
      </c>
      <c r="F2480" t="s">
        <v>477</v>
      </c>
      <c r="G2480">
        <v>372</v>
      </c>
    </row>
    <row r="2481" spans="1:7" x14ac:dyDescent="0.35">
      <c r="A2481">
        <v>2025</v>
      </c>
      <c r="B2481">
        <v>12</v>
      </c>
      <c r="C2481" t="s">
        <v>570</v>
      </c>
      <c r="E2481" t="s">
        <v>554</v>
      </c>
      <c r="F2481" t="s">
        <v>555</v>
      </c>
      <c r="G2481">
        <v>123</v>
      </c>
    </row>
    <row r="2482" spans="1:7" x14ac:dyDescent="0.35">
      <c r="A2482">
        <v>2025</v>
      </c>
      <c r="B2482">
        <v>12</v>
      </c>
      <c r="C2482" t="s">
        <v>570</v>
      </c>
      <c r="D2482" t="s">
        <v>59</v>
      </c>
      <c r="E2482" t="s">
        <v>133</v>
      </c>
      <c r="F2482" t="s">
        <v>313</v>
      </c>
      <c r="G2482">
        <v>12960</v>
      </c>
    </row>
    <row r="2483" spans="1:7" x14ac:dyDescent="0.35">
      <c r="A2483">
        <v>2025</v>
      </c>
      <c r="B2483">
        <v>12</v>
      </c>
      <c r="C2483" t="s">
        <v>570</v>
      </c>
      <c r="D2483" t="s">
        <v>38</v>
      </c>
      <c r="E2483" t="s">
        <v>122</v>
      </c>
      <c r="F2483" t="s">
        <v>314</v>
      </c>
      <c r="G2483">
        <v>2284</v>
      </c>
    </row>
    <row r="2484" spans="1:7" x14ac:dyDescent="0.35">
      <c r="A2484">
        <v>2025</v>
      </c>
      <c r="B2484">
        <v>12</v>
      </c>
      <c r="C2484" t="s">
        <v>570</v>
      </c>
      <c r="D2484" t="s">
        <v>6</v>
      </c>
      <c r="E2484" t="s">
        <v>135</v>
      </c>
      <c r="F2484" t="s">
        <v>316</v>
      </c>
      <c r="G2484">
        <v>10859</v>
      </c>
    </row>
    <row r="2485" spans="1:7" x14ac:dyDescent="0.35">
      <c r="A2485">
        <v>2025</v>
      </c>
      <c r="B2485">
        <v>12</v>
      </c>
      <c r="C2485" t="s">
        <v>570</v>
      </c>
      <c r="D2485" t="s">
        <v>6</v>
      </c>
      <c r="E2485" t="s">
        <v>136</v>
      </c>
      <c r="F2485" t="s">
        <v>317</v>
      </c>
      <c r="G2485">
        <v>6200</v>
      </c>
    </row>
    <row r="2486" spans="1:7" x14ac:dyDescent="0.35">
      <c r="A2486">
        <v>2025</v>
      </c>
      <c r="B2486">
        <v>12</v>
      </c>
      <c r="C2486" t="s">
        <v>570</v>
      </c>
      <c r="D2486" t="s">
        <v>6</v>
      </c>
      <c r="E2486" t="s">
        <v>137</v>
      </c>
      <c r="F2486" t="s">
        <v>318</v>
      </c>
      <c r="G2486">
        <v>4202</v>
      </c>
    </row>
    <row r="2487" spans="1:7" x14ac:dyDescent="0.35">
      <c r="A2487">
        <v>2025</v>
      </c>
      <c r="B2487">
        <v>12</v>
      </c>
      <c r="C2487" t="s">
        <v>570</v>
      </c>
      <c r="D2487" t="s">
        <v>62</v>
      </c>
      <c r="E2487" t="s">
        <v>288</v>
      </c>
      <c r="F2487" t="s">
        <v>470</v>
      </c>
      <c r="G2487">
        <v>1600</v>
      </c>
    </row>
    <row r="2488" spans="1:7" x14ac:dyDescent="0.35">
      <c r="A2488">
        <v>2025</v>
      </c>
      <c r="B2488">
        <v>12</v>
      </c>
      <c r="C2488" t="s">
        <v>570</v>
      </c>
      <c r="D2488" t="s">
        <v>62</v>
      </c>
      <c r="E2488" t="s">
        <v>139</v>
      </c>
      <c r="F2488" t="s">
        <v>320</v>
      </c>
      <c r="G2488">
        <v>1079</v>
      </c>
    </row>
    <row r="2489" spans="1:7" x14ac:dyDescent="0.35">
      <c r="A2489">
        <v>2025</v>
      </c>
      <c r="B2489">
        <v>12</v>
      </c>
      <c r="C2489" t="s">
        <v>570</v>
      </c>
      <c r="D2489" t="s">
        <v>62</v>
      </c>
      <c r="E2489" t="s">
        <v>261</v>
      </c>
      <c r="F2489" t="s">
        <v>441</v>
      </c>
      <c r="G2489">
        <v>5325</v>
      </c>
    </row>
    <row r="2490" spans="1:7" x14ac:dyDescent="0.35">
      <c r="A2490">
        <v>2025</v>
      </c>
      <c r="B2490">
        <v>12</v>
      </c>
      <c r="C2490" t="s">
        <v>570</v>
      </c>
      <c r="D2490" t="s">
        <v>19</v>
      </c>
      <c r="E2490" t="s">
        <v>142</v>
      </c>
      <c r="F2490" t="s">
        <v>323</v>
      </c>
      <c r="G2490">
        <v>536</v>
      </c>
    </row>
    <row r="2491" spans="1:7" x14ac:dyDescent="0.35">
      <c r="A2491">
        <v>2025</v>
      </c>
      <c r="B2491">
        <v>12</v>
      </c>
      <c r="C2491" t="s">
        <v>570</v>
      </c>
      <c r="D2491" t="s">
        <v>31</v>
      </c>
      <c r="E2491" t="s">
        <v>143</v>
      </c>
      <c r="F2491" t="s">
        <v>324</v>
      </c>
      <c r="G2491">
        <v>368522</v>
      </c>
    </row>
    <row r="2492" spans="1:7" x14ac:dyDescent="0.35">
      <c r="A2492">
        <v>2025</v>
      </c>
      <c r="B2492">
        <v>12</v>
      </c>
      <c r="C2492" t="s">
        <v>570</v>
      </c>
      <c r="D2492" t="s">
        <v>26</v>
      </c>
      <c r="E2492" t="s">
        <v>144</v>
      </c>
      <c r="F2492" t="s">
        <v>325</v>
      </c>
      <c r="G2492">
        <v>18152</v>
      </c>
    </row>
    <row r="2493" spans="1:7" x14ac:dyDescent="0.35">
      <c r="A2493">
        <v>2025</v>
      </c>
      <c r="B2493">
        <v>12</v>
      </c>
      <c r="C2493" t="s">
        <v>570</v>
      </c>
      <c r="D2493" t="s">
        <v>41</v>
      </c>
      <c r="E2493" t="s">
        <v>145</v>
      </c>
      <c r="F2493" t="s">
        <v>326</v>
      </c>
      <c r="G2493">
        <v>11338</v>
      </c>
    </row>
    <row r="2494" spans="1:7" x14ac:dyDescent="0.35">
      <c r="A2494">
        <v>2025</v>
      </c>
      <c r="B2494">
        <v>12</v>
      </c>
      <c r="C2494" t="s">
        <v>570</v>
      </c>
      <c r="D2494" t="s">
        <v>67</v>
      </c>
      <c r="E2494" t="s">
        <v>148</v>
      </c>
      <c r="F2494" t="s">
        <v>329</v>
      </c>
      <c r="G2494">
        <v>6691</v>
      </c>
    </row>
    <row r="2495" spans="1:7" x14ac:dyDescent="0.35">
      <c r="A2495">
        <v>2025</v>
      </c>
      <c r="B2495">
        <v>12</v>
      </c>
      <c r="C2495" t="s">
        <v>570</v>
      </c>
      <c r="D2495" t="s">
        <v>67</v>
      </c>
      <c r="E2495" t="s">
        <v>149</v>
      </c>
      <c r="F2495" t="s">
        <v>330</v>
      </c>
      <c r="G2495">
        <v>3462</v>
      </c>
    </row>
    <row r="2496" spans="1:7" x14ac:dyDescent="0.35">
      <c r="A2496">
        <v>2025</v>
      </c>
      <c r="B2496">
        <v>12</v>
      </c>
      <c r="C2496" t="s">
        <v>570</v>
      </c>
      <c r="D2496" t="s">
        <v>67</v>
      </c>
      <c r="E2496" t="s">
        <v>150</v>
      </c>
      <c r="F2496" t="s">
        <v>331</v>
      </c>
      <c r="G2496">
        <v>34059</v>
      </c>
    </row>
    <row r="2497" spans="1:7" x14ac:dyDescent="0.35">
      <c r="A2497">
        <v>2025</v>
      </c>
      <c r="B2497">
        <v>12</v>
      </c>
      <c r="C2497" t="s">
        <v>570</v>
      </c>
      <c r="D2497" t="s">
        <v>67</v>
      </c>
      <c r="E2497" t="s">
        <v>151</v>
      </c>
      <c r="F2497" t="s">
        <v>332</v>
      </c>
      <c r="G2497">
        <v>15993</v>
      </c>
    </row>
    <row r="2498" spans="1:7" x14ac:dyDescent="0.35">
      <c r="A2498">
        <v>2025</v>
      </c>
      <c r="B2498">
        <v>12</v>
      </c>
      <c r="C2498" t="s">
        <v>570</v>
      </c>
      <c r="D2498" t="s">
        <v>67</v>
      </c>
      <c r="E2498" t="s">
        <v>152</v>
      </c>
      <c r="F2498" t="s">
        <v>333</v>
      </c>
      <c r="G2498">
        <v>35102</v>
      </c>
    </row>
    <row r="2499" spans="1:7" x14ac:dyDescent="0.35">
      <c r="A2499">
        <v>2025</v>
      </c>
      <c r="B2499">
        <v>12</v>
      </c>
      <c r="C2499" t="s">
        <v>570</v>
      </c>
      <c r="D2499" t="s">
        <v>93</v>
      </c>
      <c r="E2499" t="s">
        <v>153</v>
      </c>
      <c r="F2499" t="s">
        <v>334</v>
      </c>
      <c r="G2499">
        <v>84971.44</v>
      </c>
    </row>
    <row r="2500" spans="1:7" x14ac:dyDescent="0.35">
      <c r="A2500">
        <v>2025</v>
      </c>
      <c r="B2500">
        <v>12</v>
      </c>
      <c r="C2500" t="s">
        <v>570</v>
      </c>
      <c r="D2500" t="s">
        <v>93</v>
      </c>
      <c r="E2500" t="s">
        <v>154</v>
      </c>
      <c r="F2500" t="s">
        <v>335</v>
      </c>
      <c r="G2500">
        <v>21168.84</v>
      </c>
    </row>
    <row r="2501" spans="1:7" x14ac:dyDescent="0.35">
      <c r="A2501">
        <v>2025</v>
      </c>
      <c r="B2501">
        <v>12</v>
      </c>
      <c r="C2501" t="s">
        <v>570</v>
      </c>
      <c r="D2501" t="s">
        <v>93</v>
      </c>
      <c r="E2501" t="s">
        <v>281</v>
      </c>
      <c r="F2501" t="s">
        <v>461</v>
      </c>
      <c r="G2501">
        <v>79239</v>
      </c>
    </row>
    <row r="2502" spans="1:7" x14ac:dyDescent="0.35">
      <c r="A2502">
        <v>2025</v>
      </c>
      <c r="B2502">
        <v>12</v>
      </c>
      <c r="C2502" t="s">
        <v>570</v>
      </c>
      <c r="D2502" t="s">
        <v>61</v>
      </c>
      <c r="E2502" t="s">
        <v>262</v>
      </c>
      <c r="F2502" t="s">
        <v>442</v>
      </c>
      <c r="G2502">
        <v>22794</v>
      </c>
    </row>
    <row r="2503" spans="1:7" x14ac:dyDescent="0.35">
      <c r="A2503">
        <v>2025</v>
      </c>
      <c r="B2503">
        <v>12</v>
      </c>
      <c r="C2503" t="s">
        <v>570</v>
      </c>
      <c r="D2503" t="s">
        <v>8</v>
      </c>
      <c r="E2503" t="s">
        <v>157</v>
      </c>
      <c r="F2503" t="s">
        <v>338</v>
      </c>
      <c r="G2503">
        <v>7360</v>
      </c>
    </row>
    <row r="2504" spans="1:7" x14ac:dyDescent="0.35">
      <c r="A2504">
        <v>2025</v>
      </c>
      <c r="B2504">
        <v>12</v>
      </c>
      <c r="C2504" t="s">
        <v>570</v>
      </c>
      <c r="D2504" t="s">
        <v>20</v>
      </c>
      <c r="E2504" t="s">
        <v>158</v>
      </c>
      <c r="F2504" t="s">
        <v>339</v>
      </c>
      <c r="G2504">
        <v>1192605</v>
      </c>
    </row>
    <row r="2505" spans="1:7" x14ac:dyDescent="0.35">
      <c r="A2505">
        <v>2025</v>
      </c>
      <c r="B2505">
        <v>12</v>
      </c>
      <c r="C2505" t="s">
        <v>570</v>
      </c>
      <c r="D2505" t="s">
        <v>160</v>
      </c>
      <c r="E2505" t="s">
        <v>161</v>
      </c>
      <c r="F2505" t="s">
        <v>341</v>
      </c>
      <c r="G2505">
        <v>390300</v>
      </c>
    </row>
    <row r="2506" spans="1:7" x14ac:dyDescent="0.35">
      <c r="A2506">
        <v>2025</v>
      </c>
      <c r="B2506">
        <v>12</v>
      </c>
      <c r="C2506" t="s">
        <v>570</v>
      </c>
      <c r="D2506" t="s">
        <v>32</v>
      </c>
      <c r="E2506" t="s">
        <v>162</v>
      </c>
      <c r="F2506" t="s">
        <v>342</v>
      </c>
      <c r="G2506">
        <v>2232</v>
      </c>
    </row>
    <row r="2507" spans="1:7" x14ac:dyDescent="0.35">
      <c r="A2507">
        <v>2025</v>
      </c>
      <c r="B2507">
        <v>12</v>
      </c>
      <c r="C2507" t="s">
        <v>570</v>
      </c>
      <c r="D2507" t="s">
        <v>22</v>
      </c>
      <c r="E2507" t="s">
        <v>165</v>
      </c>
      <c r="F2507" t="s">
        <v>344</v>
      </c>
      <c r="G2507">
        <v>7635</v>
      </c>
    </row>
    <row r="2508" spans="1:7" x14ac:dyDescent="0.35">
      <c r="A2508">
        <v>2025</v>
      </c>
      <c r="B2508">
        <v>12</v>
      </c>
      <c r="C2508" t="s">
        <v>570</v>
      </c>
      <c r="D2508" t="s">
        <v>27</v>
      </c>
      <c r="E2508" t="s">
        <v>166</v>
      </c>
      <c r="F2508" t="s">
        <v>345</v>
      </c>
      <c r="G2508">
        <v>32458</v>
      </c>
    </row>
    <row r="2509" spans="1:7" x14ac:dyDescent="0.35">
      <c r="A2509">
        <v>2025</v>
      </c>
      <c r="B2509">
        <v>12</v>
      </c>
      <c r="C2509" t="s">
        <v>570</v>
      </c>
      <c r="D2509" t="s">
        <v>9</v>
      </c>
      <c r="E2509" t="s">
        <v>168</v>
      </c>
      <c r="F2509" t="s">
        <v>347</v>
      </c>
      <c r="G2509">
        <v>16729</v>
      </c>
    </row>
    <row r="2510" spans="1:7" x14ac:dyDescent="0.35">
      <c r="A2510">
        <v>2025</v>
      </c>
      <c r="B2510">
        <v>12</v>
      </c>
      <c r="C2510" t="s">
        <v>570</v>
      </c>
      <c r="D2510" t="s">
        <v>9</v>
      </c>
      <c r="E2510" t="s">
        <v>169</v>
      </c>
      <c r="F2510" t="s">
        <v>348</v>
      </c>
      <c r="G2510">
        <v>12080</v>
      </c>
    </row>
    <row r="2511" spans="1:7" x14ac:dyDescent="0.35">
      <c r="A2511">
        <v>2025</v>
      </c>
      <c r="B2511">
        <v>12</v>
      </c>
      <c r="C2511" t="s">
        <v>570</v>
      </c>
      <c r="D2511" t="s">
        <v>72</v>
      </c>
      <c r="E2511" t="s">
        <v>170</v>
      </c>
      <c r="F2511" t="s">
        <v>349</v>
      </c>
      <c r="G2511">
        <v>67501</v>
      </c>
    </row>
    <row r="2512" spans="1:7" x14ac:dyDescent="0.35">
      <c r="A2512">
        <v>2025</v>
      </c>
      <c r="B2512">
        <v>12</v>
      </c>
      <c r="C2512" t="s">
        <v>570</v>
      </c>
      <c r="D2512" t="s">
        <v>39</v>
      </c>
      <c r="E2512" t="s">
        <v>171</v>
      </c>
      <c r="F2512" t="s">
        <v>350</v>
      </c>
      <c r="G2512">
        <v>40219</v>
      </c>
    </row>
    <row r="2513" spans="1:7" x14ac:dyDescent="0.35">
      <c r="A2513">
        <v>2025</v>
      </c>
      <c r="B2513">
        <v>12</v>
      </c>
      <c r="C2513" t="s">
        <v>570</v>
      </c>
      <c r="D2513" t="s">
        <v>10</v>
      </c>
      <c r="E2513" t="s">
        <v>172</v>
      </c>
      <c r="F2513" t="s">
        <v>351</v>
      </c>
      <c r="G2513">
        <v>8563</v>
      </c>
    </row>
    <row r="2514" spans="1:7" x14ac:dyDescent="0.35">
      <c r="A2514">
        <v>2025</v>
      </c>
      <c r="B2514">
        <v>12</v>
      </c>
      <c r="C2514" t="s">
        <v>570</v>
      </c>
      <c r="D2514" t="s">
        <v>66</v>
      </c>
      <c r="E2514" t="s">
        <v>173</v>
      </c>
      <c r="F2514" t="s">
        <v>352</v>
      </c>
      <c r="G2514">
        <v>393697</v>
      </c>
    </row>
    <row r="2515" spans="1:7" x14ac:dyDescent="0.35">
      <c r="A2515">
        <v>2025</v>
      </c>
      <c r="B2515">
        <v>12</v>
      </c>
      <c r="C2515" t="s">
        <v>570</v>
      </c>
      <c r="D2515" t="s">
        <v>66</v>
      </c>
      <c r="E2515" t="s">
        <v>174</v>
      </c>
      <c r="F2515" t="s">
        <v>353</v>
      </c>
      <c r="G2515">
        <v>68017</v>
      </c>
    </row>
    <row r="2516" spans="1:7" x14ac:dyDescent="0.35">
      <c r="A2516">
        <v>2025</v>
      </c>
      <c r="B2516">
        <v>12</v>
      </c>
      <c r="C2516" t="s">
        <v>570</v>
      </c>
      <c r="D2516" t="s">
        <v>66</v>
      </c>
      <c r="E2516" t="s">
        <v>175</v>
      </c>
      <c r="F2516" t="s">
        <v>354</v>
      </c>
      <c r="G2516">
        <v>483</v>
      </c>
    </row>
    <row r="2517" spans="1:7" x14ac:dyDescent="0.35">
      <c r="A2517">
        <v>2025</v>
      </c>
      <c r="B2517">
        <v>12</v>
      </c>
      <c r="C2517" t="s">
        <v>570</v>
      </c>
      <c r="D2517" t="s">
        <v>66</v>
      </c>
      <c r="E2517" t="s">
        <v>176</v>
      </c>
      <c r="F2517" t="s">
        <v>355</v>
      </c>
      <c r="G2517">
        <v>43554</v>
      </c>
    </row>
    <row r="2518" spans="1:7" x14ac:dyDescent="0.35">
      <c r="A2518">
        <v>2025</v>
      </c>
      <c r="B2518">
        <v>12</v>
      </c>
      <c r="C2518" t="s">
        <v>570</v>
      </c>
      <c r="D2518" t="s">
        <v>66</v>
      </c>
      <c r="E2518" t="s">
        <v>177</v>
      </c>
      <c r="F2518" t="s">
        <v>356</v>
      </c>
      <c r="G2518">
        <v>40239</v>
      </c>
    </row>
    <row r="2519" spans="1:7" x14ac:dyDescent="0.35">
      <c r="A2519">
        <v>2025</v>
      </c>
      <c r="B2519">
        <v>12</v>
      </c>
      <c r="C2519" t="s">
        <v>570</v>
      </c>
      <c r="D2519" t="s">
        <v>11</v>
      </c>
      <c r="E2519" t="s">
        <v>179</v>
      </c>
      <c r="F2519" t="s">
        <v>180</v>
      </c>
      <c r="G2519">
        <v>7096</v>
      </c>
    </row>
    <row r="2520" spans="1:7" x14ac:dyDescent="0.35">
      <c r="A2520">
        <v>2025</v>
      </c>
      <c r="B2520">
        <v>12</v>
      </c>
      <c r="C2520" t="s">
        <v>570</v>
      </c>
      <c r="D2520" t="s">
        <v>74</v>
      </c>
      <c r="E2520" t="s">
        <v>205</v>
      </c>
      <c r="F2520" t="s">
        <v>384</v>
      </c>
      <c r="G2520">
        <v>2264</v>
      </c>
    </row>
    <row r="2521" spans="1:7" x14ac:dyDescent="0.35">
      <c r="A2521">
        <v>2025</v>
      </c>
      <c r="B2521">
        <v>12</v>
      </c>
      <c r="C2521" t="s">
        <v>570</v>
      </c>
      <c r="D2521" t="s">
        <v>74</v>
      </c>
      <c r="E2521" t="s">
        <v>282</v>
      </c>
      <c r="F2521" t="s">
        <v>462</v>
      </c>
      <c r="G2521">
        <v>198</v>
      </c>
    </row>
    <row r="2522" spans="1:7" x14ac:dyDescent="0.35">
      <c r="A2522">
        <v>2025</v>
      </c>
      <c r="B2522">
        <v>12</v>
      </c>
      <c r="C2522" t="s">
        <v>570</v>
      </c>
      <c r="D2522" t="s">
        <v>74</v>
      </c>
      <c r="E2522" t="s">
        <v>267</v>
      </c>
      <c r="F2522" t="s">
        <v>447</v>
      </c>
      <c r="G2522">
        <v>198</v>
      </c>
    </row>
    <row r="2523" spans="1:7" x14ac:dyDescent="0.35">
      <c r="A2523">
        <v>2025</v>
      </c>
      <c r="B2523">
        <v>12</v>
      </c>
      <c r="C2523" t="s">
        <v>570</v>
      </c>
      <c r="D2523" t="s">
        <v>74</v>
      </c>
      <c r="E2523" t="s">
        <v>270</v>
      </c>
      <c r="F2523" t="s">
        <v>450</v>
      </c>
      <c r="G2523">
        <v>1827</v>
      </c>
    </row>
    <row r="2524" spans="1:7" x14ac:dyDescent="0.35">
      <c r="A2524">
        <v>2025</v>
      </c>
      <c r="B2524">
        <v>12</v>
      </c>
      <c r="C2524" t="s">
        <v>570</v>
      </c>
      <c r="D2524" t="s">
        <v>85</v>
      </c>
      <c r="E2524" t="s">
        <v>188</v>
      </c>
      <c r="F2524" t="s">
        <v>366</v>
      </c>
      <c r="G2524">
        <v>254380.24</v>
      </c>
    </row>
    <row r="2525" spans="1:7" x14ac:dyDescent="0.35">
      <c r="A2525">
        <v>2025</v>
      </c>
      <c r="B2525">
        <v>12</v>
      </c>
      <c r="C2525" t="s">
        <v>570</v>
      </c>
      <c r="D2525" t="s">
        <v>106</v>
      </c>
      <c r="E2525" t="s">
        <v>194</v>
      </c>
      <c r="F2525" t="s">
        <v>372</v>
      </c>
      <c r="G2525">
        <v>1400</v>
      </c>
    </row>
    <row r="2526" spans="1:7" x14ac:dyDescent="0.35">
      <c r="A2526">
        <v>2025</v>
      </c>
      <c r="B2526">
        <v>12</v>
      </c>
      <c r="C2526" t="s">
        <v>570</v>
      </c>
      <c r="D2526" t="s">
        <v>75</v>
      </c>
      <c r="E2526" t="s">
        <v>204</v>
      </c>
      <c r="F2526" t="s">
        <v>383</v>
      </c>
      <c r="G2526">
        <v>255982</v>
      </c>
    </row>
    <row r="2527" spans="1:7" x14ac:dyDescent="0.35">
      <c r="A2527">
        <v>2025</v>
      </c>
      <c r="B2527">
        <v>12</v>
      </c>
      <c r="C2527" t="s">
        <v>570</v>
      </c>
      <c r="D2527" t="s">
        <v>23</v>
      </c>
      <c r="E2527" t="s">
        <v>206</v>
      </c>
      <c r="F2527" t="s">
        <v>385</v>
      </c>
      <c r="G2527">
        <v>24065</v>
      </c>
    </row>
    <row r="2528" spans="1:7" x14ac:dyDescent="0.35">
      <c r="A2528">
        <v>2025</v>
      </c>
      <c r="B2528">
        <v>12</v>
      </c>
      <c r="C2528" t="s">
        <v>570</v>
      </c>
      <c r="D2528" t="s">
        <v>24</v>
      </c>
      <c r="E2528" t="s">
        <v>207</v>
      </c>
      <c r="F2528" t="s">
        <v>386</v>
      </c>
      <c r="G2528">
        <v>48274</v>
      </c>
    </row>
    <row r="2529" spans="1:7" x14ac:dyDescent="0.35">
      <c r="A2529">
        <v>2025</v>
      </c>
      <c r="B2529">
        <v>12</v>
      </c>
      <c r="C2529" t="s">
        <v>570</v>
      </c>
      <c r="D2529" t="s">
        <v>519</v>
      </c>
      <c r="E2529" t="s">
        <v>196</v>
      </c>
      <c r="F2529" t="s">
        <v>382</v>
      </c>
      <c r="G2529">
        <v>2.66</v>
      </c>
    </row>
    <row r="2530" spans="1:7" x14ac:dyDescent="0.35">
      <c r="A2530">
        <v>2025</v>
      </c>
      <c r="B2530">
        <v>12</v>
      </c>
      <c r="C2530" t="s">
        <v>570</v>
      </c>
      <c r="D2530" t="s">
        <v>519</v>
      </c>
      <c r="E2530" t="s">
        <v>285</v>
      </c>
      <c r="F2530" t="s">
        <v>465</v>
      </c>
      <c r="G2530">
        <v>15179.94</v>
      </c>
    </row>
    <row r="2531" spans="1:7" x14ac:dyDescent="0.35">
      <c r="A2531">
        <v>2025</v>
      </c>
      <c r="B2531">
        <v>12</v>
      </c>
      <c r="C2531" t="s">
        <v>570</v>
      </c>
      <c r="D2531" t="s">
        <v>520</v>
      </c>
      <c r="E2531" t="s">
        <v>208</v>
      </c>
      <c r="F2531" t="s">
        <v>387</v>
      </c>
      <c r="G2531">
        <v>231</v>
      </c>
    </row>
    <row r="2532" spans="1:7" x14ac:dyDescent="0.35">
      <c r="A2532">
        <v>2025</v>
      </c>
      <c r="B2532">
        <v>12</v>
      </c>
      <c r="C2532" t="s">
        <v>570</v>
      </c>
      <c r="D2532" t="s">
        <v>520</v>
      </c>
      <c r="E2532" t="s">
        <v>134</v>
      </c>
      <c r="F2532" t="s">
        <v>315</v>
      </c>
      <c r="G2532">
        <v>8573</v>
      </c>
    </row>
    <row r="2533" spans="1:7" x14ac:dyDescent="0.35">
      <c r="A2533">
        <v>2025</v>
      </c>
      <c r="B2533">
        <v>12</v>
      </c>
      <c r="C2533" t="s">
        <v>570</v>
      </c>
      <c r="D2533" t="s">
        <v>520</v>
      </c>
      <c r="E2533" t="s">
        <v>196</v>
      </c>
      <c r="F2533" t="s">
        <v>374</v>
      </c>
      <c r="G2533">
        <v>6</v>
      </c>
    </row>
    <row r="2534" spans="1:7" x14ac:dyDescent="0.35">
      <c r="A2534">
        <v>2025</v>
      </c>
      <c r="B2534">
        <v>12</v>
      </c>
      <c r="C2534" t="s">
        <v>570</v>
      </c>
      <c r="D2534" t="s">
        <v>520</v>
      </c>
      <c r="E2534" t="s">
        <v>198</v>
      </c>
      <c r="F2534" t="s">
        <v>376</v>
      </c>
      <c r="G2534">
        <v>1584</v>
      </c>
    </row>
    <row r="2535" spans="1:7" x14ac:dyDescent="0.35">
      <c r="A2535">
        <v>2025</v>
      </c>
      <c r="B2535">
        <v>12</v>
      </c>
      <c r="C2535" t="s">
        <v>570</v>
      </c>
      <c r="D2535" t="s">
        <v>520</v>
      </c>
      <c r="E2535" t="s">
        <v>200</v>
      </c>
      <c r="F2535" t="s">
        <v>378</v>
      </c>
      <c r="G2535">
        <v>2951</v>
      </c>
    </row>
    <row r="2536" spans="1:7" x14ac:dyDescent="0.35">
      <c r="A2536">
        <v>2025</v>
      </c>
      <c r="B2536">
        <v>12</v>
      </c>
      <c r="C2536" t="s">
        <v>570</v>
      </c>
      <c r="D2536" t="s">
        <v>520</v>
      </c>
      <c r="E2536" t="s">
        <v>201</v>
      </c>
      <c r="F2536" t="s">
        <v>379</v>
      </c>
      <c r="G2536">
        <v>24309</v>
      </c>
    </row>
    <row r="2537" spans="1:7" x14ac:dyDescent="0.35">
      <c r="A2537">
        <v>2025</v>
      </c>
      <c r="B2537">
        <v>12</v>
      </c>
      <c r="C2537" t="s">
        <v>570</v>
      </c>
      <c r="D2537" t="s">
        <v>12</v>
      </c>
      <c r="E2537" t="s">
        <v>210</v>
      </c>
      <c r="F2537" t="s">
        <v>389</v>
      </c>
      <c r="G2537">
        <v>2149</v>
      </c>
    </row>
    <row r="2538" spans="1:7" x14ac:dyDescent="0.35">
      <c r="A2538">
        <v>2025</v>
      </c>
      <c r="B2538">
        <v>12</v>
      </c>
      <c r="C2538" t="s">
        <v>570</v>
      </c>
      <c r="D2538" t="s">
        <v>12</v>
      </c>
      <c r="E2538" t="s">
        <v>212</v>
      </c>
      <c r="F2538" t="s">
        <v>391</v>
      </c>
      <c r="G2538">
        <v>4286</v>
      </c>
    </row>
    <row r="2539" spans="1:7" x14ac:dyDescent="0.35">
      <c r="A2539">
        <v>2025</v>
      </c>
      <c r="B2539">
        <v>12</v>
      </c>
      <c r="C2539" t="s">
        <v>570</v>
      </c>
      <c r="D2539" t="s">
        <v>12</v>
      </c>
      <c r="E2539" t="s">
        <v>273</v>
      </c>
      <c r="F2539" t="s">
        <v>453</v>
      </c>
      <c r="G2539">
        <v>2257</v>
      </c>
    </row>
    <row r="2540" spans="1:7" x14ac:dyDescent="0.35">
      <c r="A2540">
        <v>2025</v>
      </c>
      <c r="B2540">
        <v>12</v>
      </c>
      <c r="C2540" t="s">
        <v>570</v>
      </c>
      <c r="D2540" t="s">
        <v>12</v>
      </c>
      <c r="E2540" t="s">
        <v>213</v>
      </c>
      <c r="F2540" t="s">
        <v>392</v>
      </c>
      <c r="G2540">
        <v>12367</v>
      </c>
    </row>
    <row r="2541" spans="1:7" x14ac:dyDescent="0.35">
      <c r="A2541">
        <v>2025</v>
      </c>
      <c r="B2541">
        <v>12</v>
      </c>
      <c r="C2541" t="s">
        <v>570</v>
      </c>
      <c r="D2541" t="s">
        <v>12</v>
      </c>
      <c r="E2541" t="s">
        <v>214</v>
      </c>
      <c r="F2541" t="s">
        <v>394</v>
      </c>
      <c r="G2541">
        <v>1118</v>
      </c>
    </row>
    <row r="2542" spans="1:7" x14ac:dyDescent="0.35">
      <c r="A2542">
        <v>2025</v>
      </c>
      <c r="B2542">
        <v>12</v>
      </c>
      <c r="C2542" t="s">
        <v>570</v>
      </c>
      <c r="D2542" t="s">
        <v>12</v>
      </c>
      <c r="E2542" t="s">
        <v>215</v>
      </c>
      <c r="F2542" t="s">
        <v>395</v>
      </c>
      <c r="G2542">
        <v>3030</v>
      </c>
    </row>
    <row r="2543" spans="1:7" x14ac:dyDescent="0.35">
      <c r="A2543">
        <v>2025</v>
      </c>
      <c r="B2543">
        <v>12</v>
      </c>
      <c r="C2543" t="s">
        <v>570</v>
      </c>
      <c r="D2543" t="s">
        <v>12</v>
      </c>
      <c r="E2543" t="s">
        <v>217</v>
      </c>
      <c r="F2543" t="s">
        <v>397</v>
      </c>
      <c r="G2543">
        <v>2165</v>
      </c>
    </row>
    <row r="2544" spans="1:7" x14ac:dyDescent="0.35">
      <c r="A2544">
        <v>2025</v>
      </c>
      <c r="B2544">
        <v>12</v>
      </c>
      <c r="C2544" t="s">
        <v>570</v>
      </c>
      <c r="D2544" t="s">
        <v>12</v>
      </c>
      <c r="E2544" t="s">
        <v>286</v>
      </c>
      <c r="F2544" t="s">
        <v>466</v>
      </c>
      <c r="G2544">
        <v>592</v>
      </c>
    </row>
    <row r="2545" spans="1:7" x14ac:dyDescent="0.35">
      <c r="A2545">
        <v>2025</v>
      </c>
      <c r="B2545">
        <v>12</v>
      </c>
      <c r="C2545" t="s">
        <v>570</v>
      </c>
      <c r="D2545" t="s">
        <v>12</v>
      </c>
      <c r="E2545" t="s">
        <v>218</v>
      </c>
      <c r="F2545" t="s">
        <v>398</v>
      </c>
      <c r="G2545">
        <v>7799</v>
      </c>
    </row>
    <row r="2546" spans="1:7" x14ac:dyDescent="0.35">
      <c r="A2546">
        <v>2025</v>
      </c>
      <c r="B2546">
        <v>12</v>
      </c>
      <c r="C2546" t="s">
        <v>570</v>
      </c>
      <c r="D2546" t="s">
        <v>12</v>
      </c>
      <c r="E2546" t="s">
        <v>219</v>
      </c>
      <c r="F2546" t="s">
        <v>399</v>
      </c>
      <c r="G2546">
        <v>2892</v>
      </c>
    </row>
    <row r="2547" spans="1:7" x14ac:dyDescent="0.35">
      <c r="A2547">
        <v>2025</v>
      </c>
      <c r="B2547">
        <v>12</v>
      </c>
      <c r="C2547" t="s">
        <v>570</v>
      </c>
      <c r="D2547" t="s">
        <v>12</v>
      </c>
      <c r="E2547" t="s">
        <v>221</v>
      </c>
      <c r="F2547" t="s">
        <v>401</v>
      </c>
      <c r="G2547">
        <v>4331</v>
      </c>
    </row>
    <row r="2548" spans="1:7" x14ac:dyDescent="0.35">
      <c r="A2548">
        <v>2025</v>
      </c>
      <c r="B2548">
        <v>12</v>
      </c>
      <c r="C2548" t="s">
        <v>570</v>
      </c>
      <c r="D2548" t="s">
        <v>28</v>
      </c>
      <c r="E2548" t="s">
        <v>223</v>
      </c>
      <c r="F2548" t="s">
        <v>403</v>
      </c>
      <c r="G2548">
        <v>24566</v>
      </c>
    </row>
    <row r="2549" spans="1:7" x14ac:dyDescent="0.35">
      <c r="A2549">
        <v>2025</v>
      </c>
      <c r="B2549">
        <v>12</v>
      </c>
      <c r="C2549" t="s">
        <v>570</v>
      </c>
      <c r="D2549" t="s">
        <v>64</v>
      </c>
      <c r="E2549" t="s">
        <v>225</v>
      </c>
      <c r="F2549" t="s">
        <v>405</v>
      </c>
      <c r="G2549">
        <v>6479</v>
      </c>
    </row>
    <row r="2550" spans="1:7" x14ac:dyDescent="0.35">
      <c r="A2550">
        <v>2025</v>
      </c>
      <c r="B2550">
        <v>12</v>
      </c>
      <c r="C2550" t="s">
        <v>570</v>
      </c>
      <c r="D2550" t="s">
        <v>29</v>
      </c>
      <c r="E2550" t="s">
        <v>226</v>
      </c>
      <c r="F2550" t="s">
        <v>406</v>
      </c>
      <c r="G2550">
        <v>188</v>
      </c>
    </row>
    <row r="2551" spans="1:7" x14ac:dyDescent="0.35">
      <c r="A2551">
        <v>2025</v>
      </c>
      <c r="B2551">
        <v>12</v>
      </c>
      <c r="C2551" t="s">
        <v>570</v>
      </c>
      <c r="D2551" t="s">
        <v>102</v>
      </c>
      <c r="E2551" t="s">
        <v>227</v>
      </c>
      <c r="F2551" t="s">
        <v>407</v>
      </c>
      <c r="G2551">
        <v>-10747</v>
      </c>
    </row>
    <row r="2552" spans="1:7" x14ac:dyDescent="0.35">
      <c r="A2552">
        <v>2025</v>
      </c>
      <c r="B2552">
        <v>12</v>
      </c>
      <c r="C2552" t="s">
        <v>570</v>
      </c>
      <c r="D2552" t="s">
        <v>25</v>
      </c>
      <c r="E2552" t="s">
        <v>228</v>
      </c>
      <c r="F2552" t="s">
        <v>408</v>
      </c>
      <c r="G2552">
        <v>67553</v>
      </c>
    </row>
    <row r="2553" spans="1:7" x14ac:dyDescent="0.35">
      <c r="A2553">
        <v>2025</v>
      </c>
      <c r="B2553">
        <v>12</v>
      </c>
      <c r="C2553" t="s">
        <v>570</v>
      </c>
      <c r="D2553" t="s">
        <v>25</v>
      </c>
      <c r="E2553" t="s">
        <v>274</v>
      </c>
      <c r="F2553" t="s">
        <v>454</v>
      </c>
      <c r="G2553">
        <v>1400</v>
      </c>
    </row>
    <row r="2554" spans="1:7" x14ac:dyDescent="0.35">
      <c r="A2554">
        <v>2025</v>
      </c>
      <c r="B2554">
        <v>12</v>
      </c>
      <c r="C2554" t="s">
        <v>570</v>
      </c>
      <c r="D2554" t="s">
        <v>229</v>
      </c>
      <c r="E2554" t="s">
        <v>230</v>
      </c>
      <c r="F2554" t="s">
        <v>409</v>
      </c>
      <c r="G2554">
        <v>-994642</v>
      </c>
    </row>
    <row r="2555" spans="1:7" x14ac:dyDescent="0.35">
      <c r="A2555">
        <v>2025</v>
      </c>
      <c r="B2555">
        <v>12</v>
      </c>
      <c r="C2555" t="s">
        <v>570</v>
      </c>
      <c r="D2555" t="s">
        <v>13</v>
      </c>
      <c r="E2555" t="s">
        <v>232</v>
      </c>
      <c r="F2555" t="s">
        <v>411</v>
      </c>
      <c r="G2555">
        <v>152</v>
      </c>
    </row>
    <row r="2556" spans="1:7" x14ac:dyDescent="0.35">
      <c r="A2556">
        <v>2025</v>
      </c>
      <c r="B2556">
        <v>12</v>
      </c>
      <c r="C2556" t="s">
        <v>570</v>
      </c>
      <c r="D2556" t="s">
        <v>94</v>
      </c>
      <c r="E2556" t="s">
        <v>233</v>
      </c>
      <c r="F2556" t="s">
        <v>412</v>
      </c>
      <c r="G2556">
        <v>47367.96</v>
      </c>
    </row>
    <row r="2557" spans="1:7" x14ac:dyDescent="0.35">
      <c r="A2557">
        <v>2025</v>
      </c>
      <c r="B2557">
        <v>12</v>
      </c>
      <c r="C2557" t="s">
        <v>570</v>
      </c>
      <c r="D2557" t="s">
        <v>36</v>
      </c>
      <c r="E2557" t="s">
        <v>275</v>
      </c>
      <c r="F2557" t="s">
        <v>455</v>
      </c>
      <c r="G2557">
        <v>8300</v>
      </c>
    </row>
    <row r="2558" spans="1:7" x14ac:dyDescent="0.35">
      <c r="A2558">
        <v>2025</v>
      </c>
      <c r="B2558">
        <v>12</v>
      </c>
      <c r="C2558" t="s">
        <v>570</v>
      </c>
      <c r="D2558" t="s">
        <v>40</v>
      </c>
      <c r="E2558" t="s">
        <v>235</v>
      </c>
      <c r="F2558" t="s">
        <v>414</v>
      </c>
      <c r="G2558">
        <v>1182</v>
      </c>
    </row>
    <row r="2559" spans="1:7" x14ac:dyDescent="0.35">
      <c r="A2559">
        <v>2025</v>
      </c>
      <c r="B2559">
        <v>12</v>
      </c>
      <c r="C2559" t="s">
        <v>570</v>
      </c>
      <c r="D2559" t="s">
        <v>76</v>
      </c>
      <c r="E2559" t="s">
        <v>237</v>
      </c>
      <c r="F2559" t="s">
        <v>416</v>
      </c>
      <c r="G2559">
        <v>-10747</v>
      </c>
    </row>
    <row r="2560" spans="1:7" x14ac:dyDescent="0.35">
      <c r="A2560">
        <v>2025</v>
      </c>
      <c r="B2560">
        <v>12</v>
      </c>
      <c r="C2560" t="s">
        <v>570</v>
      </c>
      <c r="D2560" t="s">
        <v>76</v>
      </c>
      <c r="E2560" t="s">
        <v>238</v>
      </c>
      <c r="F2560" t="s">
        <v>417</v>
      </c>
      <c r="G2560">
        <v>324292.2</v>
      </c>
    </row>
    <row r="2561" spans="1:7" x14ac:dyDescent="0.35">
      <c r="A2561">
        <v>2025</v>
      </c>
      <c r="B2561">
        <v>12</v>
      </c>
      <c r="C2561" t="s">
        <v>570</v>
      </c>
      <c r="D2561" t="s">
        <v>76</v>
      </c>
      <c r="E2561" t="s">
        <v>239</v>
      </c>
      <c r="F2561" t="s">
        <v>418</v>
      </c>
      <c r="G2561">
        <v>-51306.559999999998</v>
      </c>
    </row>
    <row r="2562" spans="1:7" x14ac:dyDescent="0.35">
      <c r="A2562">
        <v>2025</v>
      </c>
      <c r="B2562">
        <v>12</v>
      </c>
      <c r="C2562" t="s">
        <v>570</v>
      </c>
      <c r="D2562" t="s">
        <v>35</v>
      </c>
      <c r="E2562" t="s">
        <v>240</v>
      </c>
      <c r="F2562" t="s">
        <v>419</v>
      </c>
      <c r="G2562">
        <v>89029</v>
      </c>
    </row>
    <row r="2563" spans="1:7" x14ac:dyDescent="0.35">
      <c r="A2563">
        <v>2025</v>
      </c>
      <c r="B2563">
        <v>12</v>
      </c>
      <c r="C2563" t="s">
        <v>570</v>
      </c>
      <c r="D2563" t="s">
        <v>103</v>
      </c>
      <c r="E2563" t="s">
        <v>242</v>
      </c>
      <c r="F2563" t="s">
        <v>421</v>
      </c>
      <c r="G2563">
        <v>324292</v>
      </c>
    </row>
    <row r="2564" spans="1:7" x14ac:dyDescent="0.35">
      <c r="A2564">
        <v>2025</v>
      </c>
      <c r="B2564">
        <v>12</v>
      </c>
      <c r="C2564" t="s">
        <v>570</v>
      </c>
      <c r="D2564" t="s">
        <v>104</v>
      </c>
      <c r="E2564" t="s">
        <v>243</v>
      </c>
      <c r="F2564" t="s">
        <v>422</v>
      </c>
      <c r="G2564">
        <v>-51307</v>
      </c>
    </row>
    <row r="2565" spans="1:7" x14ac:dyDescent="0.35">
      <c r="A2565">
        <v>2025</v>
      </c>
      <c r="B2565">
        <v>12</v>
      </c>
      <c r="C2565" t="s">
        <v>570</v>
      </c>
      <c r="D2565" t="s">
        <v>244</v>
      </c>
      <c r="E2565" t="s">
        <v>245</v>
      </c>
      <c r="F2565" t="s">
        <v>423</v>
      </c>
      <c r="G2565">
        <v>762198</v>
      </c>
    </row>
    <row r="2566" spans="1:7" x14ac:dyDescent="0.35">
      <c r="A2566">
        <v>2025</v>
      </c>
      <c r="B2566">
        <v>12</v>
      </c>
      <c r="C2566" t="s">
        <v>570</v>
      </c>
      <c r="D2566" t="s">
        <v>14</v>
      </c>
      <c r="E2566" t="s">
        <v>131</v>
      </c>
      <c r="F2566" t="s">
        <v>425</v>
      </c>
      <c r="G2566">
        <v>123424</v>
      </c>
    </row>
    <row r="2567" spans="1:7" x14ac:dyDescent="0.35">
      <c r="A2567">
        <v>2025</v>
      </c>
      <c r="B2567">
        <v>12</v>
      </c>
      <c r="C2567" t="s">
        <v>570</v>
      </c>
      <c r="D2567" t="s">
        <v>30</v>
      </c>
      <c r="E2567" t="s">
        <v>247</v>
      </c>
      <c r="F2567" t="s">
        <v>426</v>
      </c>
      <c r="G2567">
        <v>23971</v>
      </c>
    </row>
    <row r="2568" spans="1:7" x14ac:dyDescent="0.35">
      <c r="A2568">
        <v>2025</v>
      </c>
      <c r="B2568">
        <v>12</v>
      </c>
      <c r="C2568" t="s">
        <v>570</v>
      </c>
      <c r="D2568" t="s">
        <v>15</v>
      </c>
      <c r="E2568" t="s">
        <v>248</v>
      </c>
      <c r="F2568" t="s">
        <v>427</v>
      </c>
      <c r="G2568">
        <v>29793</v>
      </c>
    </row>
    <row r="2569" spans="1:7" x14ac:dyDescent="0.35">
      <c r="A2569">
        <v>2025</v>
      </c>
      <c r="B2569">
        <v>12</v>
      </c>
      <c r="C2569" t="s">
        <v>570</v>
      </c>
      <c r="D2569" t="s">
        <v>52</v>
      </c>
      <c r="E2569" t="s">
        <v>303</v>
      </c>
      <c r="F2569" t="s">
        <v>483</v>
      </c>
      <c r="G2569">
        <v>1913</v>
      </c>
    </row>
    <row r="2570" spans="1:7" x14ac:dyDescent="0.35">
      <c r="A2570">
        <v>2025</v>
      </c>
      <c r="B2570">
        <v>12</v>
      </c>
      <c r="C2570" t="s">
        <v>570</v>
      </c>
      <c r="D2570" t="s">
        <v>90</v>
      </c>
      <c r="E2570" t="s">
        <v>277</v>
      </c>
      <c r="F2570" t="s">
        <v>457</v>
      </c>
      <c r="G2570">
        <v>263322.31</v>
      </c>
    </row>
    <row r="2571" spans="1:7" x14ac:dyDescent="0.35">
      <c r="A2571">
        <v>2025</v>
      </c>
      <c r="B2571">
        <v>12</v>
      </c>
      <c r="C2571" t="s">
        <v>570</v>
      </c>
      <c r="D2571" t="s">
        <v>90</v>
      </c>
      <c r="E2571" t="s">
        <v>249</v>
      </c>
      <c r="F2571" t="s">
        <v>428</v>
      </c>
      <c r="G2571">
        <v>122210.96</v>
      </c>
    </row>
    <row r="2572" spans="1:7" x14ac:dyDescent="0.35">
      <c r="A2572">
        <v>2025</v>
      </c>
      <c r="B2572">
        <v>12</v>
      </c>
      <c r="C2572" t="s">
        <v>570</v>
      </c>
      <c r="D2572" t="s">
        <v>84</v>
      </c>
      <c r="E2572" t="s">
        <v>250</v>
      </c>
      <c r="F2572" t="s">
        <v>429</v>
      </c>
      <c r="G2572">
        <v>1109004.32</v>
      </c>
    </row>
    <row r="2573" spans="1:7" x14ac:dyDescent="0.35">
      <c r="A2573">
        <v>2025</v>
      </c>
      <c r="B2573">
        <v>12</v>
      </c>
      <c r="C2573" t="s">
        <v>570</v>
      </c>
      <c r="D2573" t="s">
        <v>81</v>
      </c>
      <c r="E2573" t="s">
        <v>251</v>
      </c>
      <c r="F2573" t="s">
        <v>430</v>
      </c>
      <c r="G2573">
        <v>467486.25</v>
      </c>
    </row>
    <row r="2574" spans="1:7" x14ac:dyDescent="0.35">
      <c r="A2574">
        <v>2025</v>
      </c>
      <c r="B2574">
        <v>12</v>
      </c>
      <c r="C2574" t="s">
        <v>570</v>
      </c>
      <c r="D2574" t="s">
        <v>81</v>
      </c>
      <c r="E2574" t="s">
        <v>252</v>
      </c>
      <c r="F2574" t="s">
        <v>431</v>
      </c>
      <c r="G2574">
        <v>6062233.6699999999</v>
      </c>
    </row>
    <row r="2575" spans="1:7" x14ac:dyDescent="0.35">
      <c r="A2575">
        <v>2025</v>
      </c>
      <c r="B2575">
        <v>12</v>
      </c>
      <c r="C2575" t="s">
        <v>570</v>
      </c>
      <c r="D2575" t="s">
        <v>81</v>
      </c>
      <c r="E2575" t="s">
        <v>289</v>
      </c>
      <c r="F2575" t="s">
        <v>471</v>
      </c>
      <c r="G2575">
        <v>3847111.69</v>
      </c>
    </row>
    <row r="2576" spans="1:7" x14ac:dyDescent="0.35">
      <c r="A2576">
        <v>2025</v>
      </c>
      <c r="B2576">
        <v>12</v>
      </c>
      <c r="C2576" t="s">
        <v>570</v>
      </c>
      <c r="D2576" t="s">
        <v>44</v>
      </c>
      <c r="E2576" t="s">
        <v>253</v>
      </c>
      <c r="F2576" t="s">
        <v>432</v>
      </c>
      <c r="G2576">
        <v>25470</v>
      </c>
    </row>
    <row r="2577" spans="1:7" x14ac:dyDescent="0.35">
      <c r="A2577">
        <v>2025</v>
      </c>
      <c r="B2577">
        <v>12</v>
      </c>
      <c r="C2577" t="s">
        <v>570</v>
      </c>
      <c r="D2577" t="s">
        <v>16</v>
      </c>
      <c r="E2577" t="s">
        <v>254</v>
      </c>
      <c r="F2577" t="s">
        <v>433</v>
      </c>
      <c r="G2577">
        <v>28912</v>
      </c>
    </row>
    <row r="2578" spans="1:7" x14ac:dyDescent="0.35">
      <c r="A2578">
        <v>2025</v>
      </c>
      <c r="B2578">
        <v>12</v>
      </c>
      <c r="C2578" t="s">
        <v>570</v>
      </c>
      <c r="D2578" t="s">
        <v>55</v>
      </c>
      <c r="E2578" t="s">
        <v>287</v>
      </c>
      <c r="F2578" t="s">
        <v>467</v>
      </c>
      <c r="G2578">
        <v>68629</v>
      </c>
    </row>
    <row r="2579" spans="1:7" x14ac:dyDescent="0.35">
      <c r="A2579">
        <v>2025</v>
      </c>
      <c r="B2579">
        <v>12</v>
      </c>
      <c r="C2579" t="s">
        <v>570</v>
      </c>
      <c r="D2579" t="s">
        <v>37</v>
      </c>
      <c r="E2579" t="s">
        <v>256</v>
      </c>
      <c r="F2579" t="s">
        <v>435</v>
      </c>
      <c r="G2579">
        <v>-66258.05</v>
      </c>
    </row>
    <row r="2580" spans="1:7" x14ac:dyDescent="0.35">
      <c r="A2580">
        <v>2025</v>
      </c>
      <c r="B2580">
        <v>12</v>
      </c>
      <c r="C2580" t="s">
        <v>570</v>
      </c>
      <c r="D2580" t="s">
        <v>37</v>
      </c>
      <c r="E2580" t="s">
        <v>257</v>
      </c>
      <c r="F2580" t="s">
        <v>436</v>
      </c>
      <c r="G2580">
        <v>-3859586.06</v>
      </c>
    </row>
    <row r="2581" spans="1:7" x14ac:dyDescent="0.35">
      <c r="A2581">
        <v>2025</v>
      </c>
      <c r="B2581">
        <v>12</v>
      </c>
      <c r="C2581" t="s">
        <v>570</v>
      </c>
      <c r="D2581" t="s">
        <v>18</v>
      </c>
      <c r="E2581" t="s">
        <v>259</v>
      </c>
      <c r="F2581" t="s">
        <v>438</v>
      </c>
      <c r="G2581">
        <v>52953</v>
      </c>
    </row>
    <row r="2582" spans="1:7" x14ac:dyDescent="0.35">
      <c r="A2582">
        <v>2026</v>
      </c>
      <c r="B2582">
        <v>1</v>
      </c>
      <c r="C2582" t="s">
        <v>573</v>
      </c>
      <c r="D2582" t="s">
        <v>6</v>
      </c>
      <c r="E2582" t="s">
        <v>135</v>
      </c>
      <c r="F2582" t="s">
        <v>316</v>
      </c>
      <c r="G2582">
        <v>7811</v>
      </c>
    </row>
    <row r="2583" spans="1:7" x14ac:dyDescent="0.35">
      <c r="A2583">
        <v>2026</v>
      </c>
      <c r="B2583">
        <v>1</v>
      </c>
      <c r="C2583" t="s">
        <v>573</v>
      </c>
      <c r="D2583" t="s">
        <v>62</v>
      </c>
      <c r="E2583" t="s">
        <v>288</v>
      </c>
      <c r="F2583" t="s">
        <v>470</v>
      </c>
      <c r="G2583">
        <v>4500</v>
      </c>
    </row>
    <row r="2584" spans="1:7" x14ac:dyDescent="0.35">
      <c r="A2584">
        <v>2026</v>
      </c>
      <c r="B2584">
        <v>1</v>
      </c>
      <c r="C2584" t="s">
        <v>573</v>
      </c>
      <c r="D2584" t="s">
        <v>31</v>
      </c>
      <c r="E2584" t="s">
        <v>143</v>
      </c>
      <c r="F2584" t="s">
        <v>324</v>
      </c>
      <c r="G2584">
        <v>20500</v>
      </c>
    </row>
    <row r="2585" spans="1:7" x14ac:dyDescent="0.35">
      <c r="A2585">
        <v>2026</v>
      </c>
      <c r="B2585">
        <v>1</v>
      </c>
      <c r="C2585" t="s">
        <v>573</v>
      </c>
      <c r="D2585" t="s">
        <v>67</v>
      </c>
      <c r="E2585" t="s">
        <v>148</v>
      </c>
      <c r="F2585" t="s">
        <v>329</v>
      </c>
      <c r="G2585">
        <v>9130</v>
      </c>
    </row>
    <row r="2586" spans="1:7" x14ac:dyDescent="0.35">
      <c r="A2586">
        <v>2026</v>
      </c>
      <c r="B2586">
        <v>1</v>
      </c>
      <c r="C2586" t="s">
        <v>573</v>
      </c>
      <c r="D2586" t="s">
        <v>67</v>
      </c>
      <c r="E2586" t="s">
        <v>150</v>
      </c>
      <c r="F2586" t="s">
        <v>331</v>
      </c>
      <c r="G2586">
        <v>27140</v>
      </c>
    </row>
    <row r="2587" spans="1:7" x14ac:dyDescent="0.35">
      <c r="A2587">
        <v>2026</v>
      </c>
      <c r="B2587">
        <v>1</v>
      </c>
      <c r="C2587" t="s">
        <v>573</v>
      </c>
      <c r="D2587" t="s">
        <v>67</v>
      </c>
      <c r="E2587" t="s">
        <v>151</v>
      </c>
      <c r="F2587" t="s">
        <v>332</v>
      </c>
      <c r="G2587">
        <v>3584</v>
      </c>
    </row>
    <row r="2588" spans="1:7" x14ac:dyDescent="0.35">
      <c r="A2588">
        <v>2026</v>
      </c>
      <c r="B2588">
        <v>1</v>
      </c>
      <c r="C2588" t="s">
        <v>573</v>
      </c>
      <c r="D2588" t="s">
        <v>93</v>
      </c>
      <c r="E2588" t="s">
        <v>154</v>
      </c>
      <c r="F2588" t="s">
        <v>335</v>
      </c>
      <c r="G2588">
        <v>8616.86</v>
      </c>
    </row>
    <row r="2589" spans="1:7" x14ac:dyDescent="0.35">
      <c r="A2589">
        <v>2026</v>
      </c>
      <c r="B2589">
        <v>1</v>
      </c>
      <c r="C2589" t="s">
        <v>573</v>
      </c>
      <c r="D2589" t="s">
        <v>61</v>
      </c>
      <c r="E2589" t="s">
        <v>262</v>
      </c>
      <c r="F2589" t="s">
        <v>442</v>
      </c>
      <c r="G2589">
        <v>11280</v>
      </c>
    </row>
    <row r="2590" spans="1:7" x14ac:dyDescent="0.35">
      <c r="A2590">
        <v>2026</v>
      </c>
      <c r="B2590">
        <v>1</v>
      </c>
      <c r="C2590" t="s">
        <v>573</v>
      </c>
      <c r="D2590" t="s">
        <v>20</v>
      </c>
      <c r="E2590" t="s">
        <v>158</v>
      </c>
      <c r="F2590" t="s">
        <v>339</v>
      </c>
      <c r="G2590">
        <v>316388</v>
      </c>
    </row>
    <row r="2591" spans="1:7" x14ac:dyDescent="0.35">
      <c r="A2591">
        <v>2026</v>
      </c>
      <c r="B2591">
        <v>1</v>
      </c>
      <c r="C2591" t="s">
        <v>573</v>
      </c>
      <c r="D2591" t="s">
        <v>21</v>
      </c>
      <c r="E2591" t="s">
        <v>159</v>
      </c>
      <c r="F2591" t="s">
        <v>340</v>
      </c>
      <c r="G2591">
        <v>32725</v>
      </c>
    </row>
    <row r="2592" spans="1:7" x14ac:dyDescent="0.35">
      <c r="A2592">
        <v>2026</v>
      </c>
      <c r="B2592">
        <v>1</v>
      </c>
      <c r="C2592" t="s">
        <v>573</v>
      </c>
      <c r="D2592" t="s">
        <v>160</v>
      </c>
      <c r="E2592" t="s">
        <v>161</v>
      </c>
      <c r="F2592" t="s">
        <v>341</v>
      </c>
      <c r="G2592">
        <v>570</v>
      </c>
    </row>
    <row r="2593" spans="1:7" x14ac:dyDescent="0.35">
      <c r="A2593">
        <v>2026</v>
      </c>
      <c r="B2593">
        <v>1</v>
      </c>
      <c r="C2593" t="s">
        <v>573</v>
      </c>
      <c r="D2593" t="s">
        <v>27</v>
      </c>
      <c r="E2593" t="s">
        <v>166</v>
      </c>
      <c r="F2593" t="s">
        <v>345</v>
      </c>
      <c r="G2593">
        <v>45000</v>
      </c>
    </row>
    <row r="2594" spans="1:7" x14ac:dyDescent="0.35">
      <c r="A2594">
        <v>2026</v>
      </c>
      <c r="B2594">
        <v>1</v>
      </c>
      <c r="C2594" t="s">
        <v>573</v>
      </c>
      <c r="D2594" t="s">
        <v>39</v>
      </c>
      <c r="E2594" t="s">
        <v>171</v>
      </c>
      <c r="F2594" t="s">
        <v>350</v>
      </c>
      <c r="G2594">
        <v>22440</v>
      </c>
    </row>
    <row r="2595" spans="1:7" x14ac:dyDescent="0.35">
      <c r="A2595">
        <v>2026</v>
      </c>
      <c r="B2595">
        <v>1</v>
      </c>
      <c r="C2595" t="s">
        <v>573</v>
      </c>
      <c r="D2595" t="s">
        <v>66</v>
      </c>
      <c r="E2595" t="s">
        <v>173</v>
      </c>
      <c r="F2595" t="s">
        <v>352</v>
      </c>
      <c r="G2595">
        <v>405427</v>
      </c>
    </row>
    <row r="2596" spans="1:7" x14ac:dyDescent="0.35">
      <c r="A2596">
        <v>2026</v>
      </c>
      <c r="B2596">
        <v>1</v>
      </c>
      <c r="C2596" t="s">
        <v>573</v>
      </c>
      <c r="D2596" t="s">
        <v>66</v>
      </c>
      <c r="E2596" t="s">
        <v>174</v>
      </c>
      <c r="F2596" t="s">
        <v>353</v>
      </c>
      <c r="G2596">
        <v>68017</v>
      </c>
    </row>
    <row r="2597" spans="1:7" x14ac:dyDescent="0.35">
      <c r="A2597">
        <v>2026</v>
      </c>
      <c r="B2597">
        <v>1</v>
      </c>
      <c r="C2597" t="s">
        <v>573</v>
      </c>
      <c r="D2597" t="s">
        <v>66</v>
      </c>
      <c r="E2597" t="s">
        <v>175</v>
      </c>
      <c r="F2597" t="s">
        <v>354</v>
      </c>
      <c r="G2597">
        <v>483</v>
      </c>
    </row>
    <row r="2598" spans="1:7" x14ac:dyDescent="0.35">
      <c r="A2598">
        <v>2026</v>
      </c>
      <c r="B2598">
        <v>1</v>
      </c>
      <c r="C2598" t="s">
        <v>573</v>
      </c>
      <c r="D2598" t="s">
        <v>66</v>
      </c>
      <c r="E2598" t="s">
        <v>176</v>
      </c>
      <c r="F2598" t="s">
        <v>355</v>
      </c>
      <c r="G2598">
        <v>43554</v>
      </c>
    </row>
    <row r="2599" spans="1:7" x14ac:dyDescent="0.35">
      <c r="A2599">
        <v>2026</v>
      </c>
      <c r="B2599">
        <v>1</v>
      </c>
      <c r="C2599" t="s">
        <v>573</v>
      </c>
      <c r="D2599" t="s">
        <v>66</v>
      </c>
      <c r="E2599" t="s">
        <v>177</v>
      </c>
      <c r="F2599" t="s">
        <v>356</v>
      </c>
      <c r="G2599">
        <v>40239</v>
      </c>
    </row>
    <row r="2600" spans="1:7" x14ac:dyDescent="0.35">
      <c r="A2600">
        <v>2026</v>
      </c>
      <c r="B2600">
        <v>1</v>
      </c>
      <c r="C2600" t="s">
        <v>573</v>
      </c>
      <c r="D2600" t="s">
        <v>11</v>
      </c>
      <c r="E2600" t="s">
        <v>179</v>
      </c>
      <c r="F2600" t="s">
        <v>180</v>
      </c>
      <c r="G2600">
        <v>8760</v>
      </c>
    </row>
    <row r="2601" spans="1:7" x14ac:dyDescent="0.35">
      <c r="A2601">
        <v>2026</v>
      </c>
      <c r="B2601">
        <v>1</v>
      </c>
      <c r="C2601" t="s">
        <v>573</v>
      </c>
      <c r="D2601" t="s">
        <v>23</v>
      </c>
      <c r="E2601" t="s">
        <v>206</v>
      </c>
      <c r="F2601" t="s">
        <v>385</v>
      </c>
      <c r="G2601">
        <v>197</v>
      </c>
    </row>
    <row r="2602" spans="1:7" x14ac:dyDescent="0.35">
      <c r="A2602">
        <v>2026</v>
      </c>
      <c r="B2602">
        <v>1</v>
      </c>
      <c r="C2602" t="s">
        <v>573</v>
      </c>
      <c r="D2602" t="s">
        <v>24</v>
      </c>
      <c r="E2602" t="s">
        <v>207</v>
      </c>
      <c r="F2602" t="s">
        <v>386</v>
      </c>
      <c r="G2602">
        <v>10509</v>
      </c>
    </row>
    <row r="2603" spans="1:7" x14ac:dyDescent="0.35">
      <c r="A2603">
        <v>2026</v>
      </c>
      <c r="B2603">
        <v>1</v>
      </c>
      <c r="C2603" t="s">
        <v>573</v>
      </c>
      <c r="D2603" t="s">
        <v>519</v>
      </c>
      <c r="E2603" t="s">
        <v>196</v>
      </c>
      <c r="F2603" t="s">
        <v>382</v>
      </c>
      <c r="G2603">
        <v>0.21</v>
      </c>
    </row>
    <row r="2604" spans="1:7" x14ac:dyDescent="0.35">
      <c r="A2604">
        <v>2026</v>
      </c>
      <c r="B2604">
        <v>1</v>
      </c>
      <c r="C2604" t="s">
        <v>573</v>
      </c>
      <c r="D2604" t="s">
        <v>520</v>
      </c>
      <c r="E2604" t="s">
        <v>196</v>
      </c>
      <c r="F2604" t="s">
        <v>374</v>
      </c>
      <c r="G2604">
        <v>0</v>
      </c>
    </row>
    <row r="2605" spans="1:7" x14ac:dyDescent="0.35">
      <c r="A2605">
        <v>2026</v>
      </c>
      <c r="B2605">
        <v>1</v>
      </c>
      <c r="C2605" t="s">
        <v>573</v>
      </c>
      <c r="D2605" t="s">
        <v>33</v>
      </c>
      <c r="E2605" t="s">
        <v>209</v>
      </c>
      <c r="F2605" t="s">
        <v>388</v>
      </c>
      <c r="G2605">
        <v>5402</v>
      </c>
    </row>
    <row r="2606" spans="1:7" x14ac:dyDescent="0.35">
      <c r="A2606">
        <v>2026</v>
      </c>
      <c r="B2606">
        <v>1</v>
      </c>
      <c r="C2606" t="s">
        <v>573</v>
      </c>
      <c r="D2606" t="s">
        <v>64</v>
      </c>
      <c r="E2606" t="s">
        <v>225</v>
      </c>
      <c r="F2606" t="s">
        <v>405</v>
      </c>
      <c r="G2606">
        <v>6615</v>
      </c>
    </row>
    <row r="2607" spans="1:7" x14ac:dyDescent="0.35">
      <c r="A2607">
        <v>2026</v>
      </c>
      <c r="B2607">
        <v>1</v>
      </c>
      <c r="C2607" t="s">
        <v>573</v>
      </c>
      <c r="D2607" t="s">
        <v>229</v>
      </c>
      <c r="E2607" t="s">
        <v>230</v>
      </c>
      <c r="F2607" t="s">
        <v>409</v>
      </c>
      <c r="G2607">
        <v>329524</v>
      </c>
    </row>
    <row r="2608" spans="1:7" x14ac:dyDescent="0.35">
      <c r="A2608">
        <v>2026</v>
      </c>
      <c r="B2608">
        <v>1</v>
      </c>
      <c r="C2608" t="s">
        <v>573</v>
      </c>
      <c r="D2608" t="s">
        <v>231</v>
      </c>
      <c r="E2608" t="s">
        <v>231</v>
      </c>
      <c r="F2608" t="s">
        <v>410</v>
      </c>
      <c r="G2608">
        <v>10000</v>
      </c>
    </row>
    <row r="2609" spans="1:7" x14ac:dyDescent="0.35">
      <c r="A2609">
        <v>2026</v>
      </c>
      <c r="B2609">
        <v>1</v>
      </c>
      <c r="C2609" t="s">
        <v>573</v>
      </c>
      <c r="D2609" t="s">
        <v>94</v>
      </c>
      <c r="E2609" t="s">
        <v>233</v>
      </c>
      <c r="F2609" t="s">
        <v>412</v>
      </c>
      <c r="G2609">
        <v>2910</v>
      </c>
    </row>
    <row r="2610" spans="1:7" x14ac:dyDescent="0.35">
      <c r="A2610">
        <v>2026</v>
      </c>
      <c r="B2610">
        <v>1</v>
      </c>
      <c r="C2610" t="s">
        <v>573</v>
      </c>
      <c r="D2610" t="s">
        <v>36</v>
      </c>
      <c r="E2610" t="s">
        <v>275</v>
      </c>
      <c r="F2610" t="s">
        <v>455</v>
      </c>
      <c r="G2610">
        <v>8300</v>
      </c>
    </row>
    <row r="2611" spans="1:7" x14ac:dyDescent="0.35">
      <c r="A2611">
        <v>2026</v>
      </c>
      <c r="B2611">
        <v>1</v>
      </c>
      <c r="C2611" t="s">
        <v>573</v>
      </c>
      <c r="D2611" t="s">
        <v>244</v>
      </c>
      <c r="E2611" t="s">
        <v>245</v>
      </c>
      <c r="F2611" t="s">
        <v>423</v>
      </c>
      <c r="G2611">
        <v>-5111</v>
      </c>
    </row>
    <row r="2612" spans="1:7" x14ac:dyDescent="0.35">
      <c r="A2612">
        <v>2026</v>
      </c>
      <c r="B2612">
        <v>1</v>
      </c>
      <c r="C2612" t="s">
        <v>573</v>
      </c>
      <c r="D2612" t="s">
        <v>14</v>
      </c>
      <c r="E2612" t="s">
        <v>131</v>
      </c>
      <c r="F2612" t="s">
        <v>425</v>
      </c>
      <c r="G2612">
        <v>8000</v>
      </c>
    </row>
    <row r="2613" spans="1:7" x14ac:dyDescent="0.35">
      <c r="A2613">
        <v>2026</v>
      </c>
      <c r="B2613">
        <v>1</v>
      </c>
      <c r="C2613" t="s">
        <v>573</v>
      </c>
      <c r="D2613" t="s">
        <v>30</v>
      </c>
      <c r="E2613" t="s">
        <v>247</v>
      </c>
      <c r="F2613" t="s">
        <v>426</v>
      </c>
      <c r="G2613">
        <v>6372</v>
      </c>
    </row>
    <row r="2614" spans="1:7" x14ac:dyDescent="0.35">
      <c r="A2614">
        <v>2026</v>
      </c>
      <c r="B2614">
        <v>1</v>
      </c>
      <c r="C2614" t="s">
        <v>573</v>
      </c>
      <c r="D2614" t="s">
        <v>15</v>
      </c>
      <c r="E2614" t="s">
        <v>248</v>
      </c>
      <c r="F2614" t="s">
        <v>427</v>
      </c>
      <c r="G2614">
        <v>23887</v>
      </c>
    </row>
    <row r="2615" spans="1:7" x14ac:dyDescent="0.35">
      <c r="A2615">
        <v>2026</v>
      </c>
      <c r="B2615">
        <v>1</v>
      </c>
      <c r="C2615" t="s">
        <v>573</v>
      </c>
      <c r="D2615" t="s">
        <v>84</v>
      </c>
      <c r="E2615" t="s">
        <v>250</v>
      </c>
      <c r="F2615" t="s">
        <v>429</v>
      </c>
      <c r="G2615">
        <v>29990.720000000001</v>
      </c>
    </row>
    <row r="2616" spans="1:7" x14ac:dyDescent="0.35">
      <c r="A2616">
        <v>2026</v>
      </c>
      <c r="B2616">
        <v>1</v>
      </c>
      <c r="C2616" t="s">
        <v>573</v>
      </c>
      <c r="D2616" t="s">
        <v>16</v>
      </c>
      <c r="E2616" t="s">
        <v>254</v>
      </c>
      <c r="F2616" t="s">
        <v>433</v>
      </c>
      <c r="G2616">
        <v>15012</v>
      </c>
    </row>
    <row r="2617" spans="1:7" x14ac:dyDescent="0.35">
      <c r="A2617">
        <v>2026</v>
      </c>
      <c r="B2617">
        <v>1</v>
      </c>
      <c r="C2617" t="s">
        <v>573</v>
      </c>
      <c r="D2617" t="s">
        <v>37</v>
      </c>
      <c r="E2617" t="s">
        <v>256</v>
      </c>
      <c r="F2617" t="s">
        <v>435</v>
      </c>
      <c r="G2617">
        <v>-13258.3</v>
      </c>
    </row>
    <row r="2618" spans="1:7" x14ac:dyDescent="0.35">
      <c r="A2618">
        <v>2026</v>
      </c>
      <c r="B2618">
        <v>1</v>
      </c>
      <c r="C2618" t="s">
        <v>573</v>
      </c>
      <c r="D2618" t="s">
        <v>37</v>
      </c>
      <c r="E2618" t="s">
        <v>257</v>
      </c>
      <c r="F2618" t="s">
        <v>436</v>
      </c>
      <c r="G2618">
        <v>-5111.41</v>
      </c>
    </row>
  </sheetData>
  <sheetProtection selectLockedCells="1" autoFilter="0" pivotTables="0"/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DE492-73BE-44BC-A194-F9306E7C2D01}">
  <sheetPr codeName="List2"/>
  <dimension ref="A1:H3"/>
  <sheetViews>
    <sheetView showGridLines="0" showRowColHeaders="0" workbookViewId="0"/>
  </sheetViews>
  <sheetFormatPr defaultRowHeight="15" x14ac:dyDescent="0.35"/>
  <cols>
    <col min="1" max="1" width="9" bestFit="1" customWidth="1"/>
    <col min="2" max="2" width="17.44140625" bestFit="1" customWidth="1"/>
    <col min="3" max="3" width="14.44140625" bestFit="1" customWidth="1"/>
    <col min="4" max="4" width="7" bestFit="1" customWidth="1"/>
    <col min="5" max="5" width="19.44140625" bestFit="1" customWidth="1"/>
    <col min="6" max="6" width="11.6640625" bestFit="1" customWidth="1"/>
    <col min="7" max="7" width="12.109375" bestFit="1" customWidth="1"/>
    <col min="8" max="8" width="78.109375" bestFit="1" customWidth="1"/>
  </cols>
  <sheetData>
    <row r="1" spans="1:8" x14ac:dyDescent="0.35">
      <c r="A1" s="47" t="s">
        <v>125</v>
      </c>
      <c r="B1" t="s">
        <v>126</v>
      </c>
      <c r="C1" t="s">
        <v>127</v>
      </c>
      <c r="D1" t="s">
        <v>121</v>
      </c>
      <c r="E1" t="s">
        <v>120</v>
      </c>
      <c r="F1" s="48" t="s">
        <v>128</v>
      </c>
      <c r="G1" s="48" t="s">
        <v>129</v>
      </c>
      <c r="H1" t="s">
        <v>130</v>
      </c>
    </row>
    <row r="2" spans="1:8" x14ac:dyDescent="0.35">
      <c r="A2" s="47">
        <v>45722</v>
      </c>
      <c r="B2" t="s">
        <v>508</v>
      </c>
      <c r="D2" t="s">
        <v>425</v>
      </c>
      <c r="E2" t="s">
        <v>131</v>
      </c>
      <c r="F2" s="48">
        <v>15400</v>
      </c>
      <c r="G2" s="48">
        <v>0</v>
      </c>
      <c r="H2" t="s">
        <v>509</v>
      </c>
    </row>
    <row r="3" spans="1:8" x14ac:dyDescent="0.35">
      <c r="A3" s="47">
        <v>45720</v>
      </c>
      <c r="B3" t="s">
        <v>510</v>
      </c>
      <c r="D3" t="s">
        <v>425</v>
      </c>
      <c r="E3" t="s">
        <v>131</v>
      </c>
      <c r="F3" s="48">
        <v>1140.83</v>
      </c>
      <c r="G3" s="48">
        <v>0</v>
      </c>
      <c r="H3" t="s">
        <v>511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24D1AA-A815-4763-B660-E995BD71AB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8</vt:i4>
      </vt:variant>
      <vt:variant>
        <vt:lpstr>Pojmenované oblasti</vt:lpstr>
      </vt:variant>
      <vt:variant>
        <vt:i4>13</vt:i4>
      </vt:variant>
    </vt:vector>
  </HeadingPairs>
  <TitlesOfParts>
    <vt:vector size="21" baseType="lpstr">
      <vt:lpstr>Aplikace</vt:lpstr>
      <vt:lpstr>Kumulace</vt:lpstr>
      <vt:lpstr>Kontingenční tabulka</vt:lpstr>
      <vt:lpstr>DataProGraf</vt:lpstr>
      <vt:lpstr>Grafy</vt:lpstr>
      <vt:lpstr>Konfigurace</vt:lpstr>
      <vt:lpstr>Rozpočet</vt:lpstr>
      <vt:lpstr>Detail</vt:lpstr>
      <vt:lpstr>databaseName</vt:lpstr>
      <vt:lpstr>EXE</vt:lpstr>
      <vt:lpstr>localServer</vt:lpstr>
      <vt:lpstr>login</vt:lpstr>
      <vt:lpstr>Mesic</vt:lpstr>
      <vt:lpstr>Nazev</vt:lpstr>
      <vt:lpstr>Obdobi</vt:lpstr>
      <vt:lpstr>passw</vt:lpstr>
      <vt:lpstr>Rok</vt:lpstr>
      <vt:lpstr>serverName</vt:lpstr>
      <vt:lpstr>Skupina</vt:lpstr>
      <vt:lpstr>Skutecnost</vt:lpstr>
      <vt:lpstr>Ucet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Aleš Vintrlík</dc:creator>
  <cp:lastModifiedBy>Aleš Vintrlík</cp:lastModifiedBy>
  <cp:lastPrinted>2025-03-18T16:04:52Z</cp:lastPrinted>
  <dcterms:created xsi:type="dcterms:W3CDTF">2024-05-15T15:22:42Z</dcterms:created>
  <dcterms:modified xsi:type="dcterms:W3CDTF">2026-01-09T14:03:58Z</dcterms:modified>
</cp:coreProperties>
</file>